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mavsuta-my.sharepoint.com/personal/jacqueline_beltran_mavs_uta_edu/Documents/Documents/"/>
    </mc:Choice>
  </mc:AlternateContent>
  <xr:revisionPtr revIDLastSave="222" documentId="8_{CD469F03-6519-4A2D-90A4-9951ABDB6763}" xr6:coauthVersionLast="47" xr6:coauthVersionMax="47" xr10:uidLastSave="{B3700FA6-3DD3-43DD-9CC1-A1384558F2CB}"/>
  <bookViews>
    <workbookView xWindow="-110" yWindow="-110" windowWidth="19420" windowHeight="10300" xr2:uid="{00000000-000D-0000-FFFF-FFFF00000000}"/>
  </bookViews>
  <sheets>
    <sheet name="Current Workforce " sheetId="1" r:id="rId1"/>
    <sheet name="PIVOTS" sheetId="6" r:id="rId2"/>
    <sheet name="Risk &amp; Impact Method" sheetId="2" r:id="rId3"/>
    <sheet name="Leadership Readiness" sheetId="3" r:id="rId4"/>
    <sheet name="Promotional Structure" sheetId="4" r:id="rId5"/>
    <sheet name="Potential Successors" sheetId="5" r:id="rId6"/>
  </sheets>
  <calcPr calcId="191028"/>
  <pivotCaches>
    <pivotCache cacheId="113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 r="E26" i="1"/>
  <c r="G25" i="1"/>
  <c r="E25" i="1"/>
  <c r="G24" i="1"/>
  <c r="E24" i="1"/>
  <c r="G23" i="1"/>
  <c r="E23" i="1"/>
  <c r="G22" i="1"/>
  <c r="E22" i="1"/>
  <c r="G21" i="1"/>
  <c r="E21" i="1"/>
  <c r="G20" i="1"/>
  <c r="E20" i="1"/>
  <c r="G19" i="1"/>
  <c r="E19" i="1"/>
  <c r="G18" i="1"/>
  <c r="E18" i="1"/>
  <c r="G17" i="1"/>
  <c r="E17" i="1"/>
  <c r="G16" i="1"/>
  <c r="E16" i="1"/>
  <c r="G15" i="1"/>
  <c r="E15" i="1"/>
  <c r="G14" i="1"/>
  <c r="E14" i="1"/>
  <c r="G13" i="1"/>
  <c r="E13" i="1"/>
  <c r="G12" i="1"/>
  <c r="E12" i="1"/>
  <c r="G11" i="1"/>
  <c r="E11" i="1"/>
  <c r="G10" i="1"/>
  <c r="E10" i="1"/>
  <c r="G9" i="1"/>
  <c r="E9" i="1"/>
  <c r="G8" i="1"/>
  <c r="E8" i="1"/>
  <c r="G7" i="1"/>
  <c r="E7" i="1"/>
  <c r="G6" i="1"/>
  <c r="E6" i="1"/>
  <c r="G5" i="1"/>
  <c r="E5" i="1"/>
  <c r="G3" i="1"/>
  <c r="E3" i="1"/>
</calcChain>
</file>

<file path=xl/sharedStrings.xml><?xml version="1.0" encoding="utf-8"?>
<sst xmlns="http://schemas.openxmlformats.org/spreadsheetml/2006/main" count="877" uniqueCount="343">
  <si>
    <t>Department:  Parks &amp; Recreation</t>
  </si>
  <si>
    <t xml:space="preserve">   24 Full Time Employees</t>
  </si>
  <si>
    <t>Employee Name</t>
  </si>
  <si>
    <t>Position Title</t>
  </si>
  <si>
    <t>EMP ID</t>
  </si>
  <si>
    <t>Hire Date</t>
  </si>
  <si>
    <t>Years with Organization</t>
  </si>
  <si>
    <t>Years in Current Role</t>
  </si>
  <si>
    <t>Years in Current Role (In Number of Yrs)</t>
  </si>
  <si>
    <t>Risk of Vacancy (Low/Medium/High)</t>
  </si>
  <si>
    <t>Impact if Vacant (Low/Medium/High)</t>
  </si>
  <si>
    <t>Retirement Eligibility or Anticipated Resignation Date</t>
  </si>
  <si>
    <t>Determined Essential to meet state/local laws/Critical role responsibilities (Y/N)</t>
  </si>
  <si>
    <t>Who provides backup coverage for essential employees (if any)</t>
  </si>
  <si>
    <t>Successor Identified (Y/N)</t>
  </si>
  <si>
    <t>Potential Successor Name</t>
  </si>
  <si>
    <t>Succession Readiness (Ready Now / 1-2 yrs / 3-5 yrs)</t>
  </si>
  <si>
    <t>Meets Minimum Qualifications for Promotion (Y/N)</t>
  </si>
  <si>
    <t>Performance Rating (Last Review)</t>
  </si>
  <si>
    <t>Promotion Readiness (Ready Now / Developing / Not Ready)</t>
  </si>
  <si>
    <t>Development Needs</t>
  </si>
  <si>
    <t>Training / Education / Skills Needed for Promotion</t>
  </si>
  <si>
    <t>Training Priority (High/Medium/Low)</t>
  </si>
  <si>
    <t>Training Type Needed (Leadership/Technical/Compliance/Cross-training)</t>
  </si>
  <si>
    <t>Training Status (Not Started/In Progress/Completed)</t>
  </si>
  <si>
    <t>Planned Completion Date</t>
  </si>
  <si>
    <t>Actual Completion Date</t>
  </si>
  <si>
    <t>Typical Years of experience</t>
  </si>
  <si>
    <t>Education / Degree Requirement</t>
  </si>
  <si>
    <t>Notes (Education / Degree Requirement)</t>
  </si>
  <si>
    <t>Certifications/Skills Known before Meetings/Interviews</t>
  </si>
  <si>
    <t>Certification (Additional requirement)</t>
  </si>
  <si>
    <t>Observed Training / License Requirement</t>
  </si>
  <si>
    <t>Next Target Position</t>
  </si>
  <si>
    <t>Potential Succesor (Data updated before the meeting)</t>
  </si>
  <si>
    <t>Reason Why They Are Potential Successors</t>
  </si>
  <si>
    <t>LOZANO, PHILLIP E</t>
  </si>
  <si>
    <t>PARKS &amp; REC DIR</t>
  </si>
  <si>
    <t>Same</t>
  </si>
  <si>
    <t>High</t>
  </si>
  <si>
    <t>Retirement Eligible</t>
  </si>
  <si>
    <t> </t>
  </si>
  <si>
    <t>10 years; 5 supervisory</t>
  </si>
  <si>
    <t>Bachelor’s required/preferred</t>
  </si>
  <si>
    <t>CPRP required; long-range planning; budgeting; grants; policy; facility planning</t>
  </si>
  <si>
    <t>CPRP</t>
  </si>
  <si>
    <t>N/A</t>
  </si>
  <si>
    <t>Brian/Andra</t>
  </si>
  <si>
    <t>Vacant</t>
  </si>
  <si>
    <t>Asst. Director Parks or Asst. Dir. of Recreation</t>
  </si>
  <si>
    <t>N</t>
  </si>
  <si>
    <t xml:space="preserve">NORTON,  BRIAN </t>
  </si>
  <si>
    <t>ASST. DIRECTOR OF PARKS OPERATIONS</t>
  </si>
  <si>
    <t>same</t>
  </si>
  <si>
    <t>Y</t>
  </si>
  <si>
    <t>CPO, CPSI, MPA, 30+yrs of experience, CPRP</t>
  </si>
  <si>
    <t>Leadership Training, AI training, Professional training on Recreational, Athletics, Workflows, Budget Training, Public Finance, cost recovery strategy, Facility management and Maintainance management, Public Interface Interaction, Marketing Strategies, Communication Department, Event Management</t>
  </si>
  <si>
    <t>Senior leadership experience, 7 years field; 3 supervisory</t>
  </si>
  <si>
    <t>Bachelor’s preferred</t>
  </si>
  <si>
    <t>CPRP required; First Aid/CPR; project management; budgeting; contract and maintenance management; RAS preferred; CPO/CPSI/Irrigation pay-eligible</t>
  </si>
  <si>
    <t>Department-wide planning, grants, policy, council reporting</t>
  </si>
  <si>
    <t>DORIA, GABRIEL J</t>
  </si>
  <si>
    <t>PARKS SUPERINT</t>
  </si>
  <si>
    <t>Retirement Eligible within 2-3 yrs</t>
  </si>
  <si>
    <t>Project Mangement, Leaedership, Presentations to boards and commisions</t>
  </si>
  <si>
    <t>Certification - CPRP, Bachelors/Equivalent experience(Yes he has one) (Public Administration, preferred degree related to Parks and Recreation)</t>
  </si>
  <si>
    <t xml:space="preserve"> Leadership/Technical/Compliance/Cross-training</t>
  </si>
  <si>
    <t>5 years field; 3 supervisory</t>
  </si>
  <si>
    <t>High school/GED</t>
  </si>
  <si>
    <t>Certified Playground Safety within 24 months; First Aid/CPR; CMMS; contract management; horticulture; irrigation; budgeting; training program oversight</t>
  </si>
  <si>
    <t>Capital projects and executive communication</t>
  </si>
  <si>
    <t>Certified Playground Safety</t>
  </si>
  <si>
    <t>SCHMIDT, PHILLIP L</t>
  </si>
  <si>
    <t>PARKS SUPERVISOR</t>
  </si>
  <si>
    <t>Medium</t>
  </si>
  <si>
    <t>Retirement Eligible within 6-7 yrs</t>
  </si>
  <si>
    <t>Leadership, Project management, Work Order System,</t>
  </si>
  <si>
    <t>CPSI Certification</t>
  </si>
  <si>
    <t>4/5 years related or field experience</t>
  </si>
  <si>
    <t>CPTM and CPO within 12 months; First Aid/CPR; supervision; hiring/training; records; safety and equipment oversight; Certified Playground Safety; CMMS / budgeting exposure</t>
  </si>
  <si>
    <t>3 years supervisory experience preferred path</t>
  </si>
  <si>
    <t>CPTM and CPO</t>
  </si>
  <si>
    <t>GOMEZ, IGNACIO A / MORGAN, JUSTIN D</t>
  </si>
  <si>
    <t>GOMEZ, IGNACIO A</t>
  </si>
  <si>
    <t>PARKS CREW LDR</t>
  </si>
  <si>
    <t xml:space="preserve"> Maintainance and Repairs, Operating large equipments</t>
  </si>
  <si>
    <t>English Language communication(Bilingual), Leadership Training</t>
  </si>
  <si>
    <t>CPO Certification, CPTM,</t>
  </si>
  <si>
    <t>3+ years grounds maintenance</t>
  </si>
  <si>
    <t>3 years grounds maintenance; crew lead experience preferred; TDA Pesticide Applicator within 12 months; First Aid/CPR; CPTM and CPO pathway; safety leadership</t>
  </si>
  <si>
    <t>Supervision, records, and event coordination</t>
  </si>
  <si>
    <t>TDA Pesticide Applicator</t>
  </si>
  <si>
    <t>PONCE, JORGE S</t>
  </si>
  <si>
    <t>Carpentry,  CPO operations</t>
  </si>
  <si>
    <t xml:space="preserve">CPTM </t>
  </si>
  <si>
    <t>HARDIN, JOSEPH T</t>
  </si>
  <si>
    <t>Maintainance, All rounder, CPO, Reliable</t>
  </si>
  <si>
    <t>Leadership training, Training in Communication</t>
  </si>
  <si>
    <t>CALDERON GONZALEZ, HECTOR A</t>
  </si>
  <si>
    <t xml:space="preserve">Masonry, Landscape, </t>
  </si>
  <si>
    <t>CPO, CPTM</t>
  </si>
  <si>
    <t>MORGAN, JUSTIN D</t>
  </si>
  <si>
    <t>Good in communication, Athletics crews, Sports Maintainance</t>
  </si>
  <si>
    <t>Leadership training</t>
  </si>
  <si>
    <t>CONTRERAS, JESUS A</t>
  </si>
  <si>
    <t>PARKS IRRIGATION/PROJECT SPECIALIST</t>
  </si>
  <si>
    <t>Low</t>
  </si>
  <si>
    <t>Good knowledge in Irrigation</t>
  </si>
  <si>
    <t xml:space="preserve">TDA </t>
  </si>
  <si>
    <t>2 years irrigation experience; Texas Irrigator License; Backflow Prevention License; First Aid/CPR; project records and layout/design</t>
  </si>
  <si>
    <t>Texas Irrigator + Backflow Prevention</t>
  </si>
  <si>
    <t>PARKS SUPERVISOR or specialized track</t>
  </si>
  <si>
    <t>HILL, BRENT A</t>
  </si>
  <si>
    <t>PEST CONTROL/HERBICIDE TECHNICIAN</t>
  </si>
  <si>
    <t>TDA Certification</t>
  </si>
  <si>
    <t xml:space="preserve"> Training in Leadership and Communication</t>
  </si>
  <si>
    <t>eligible for promotion</t>
  </si>
  <si>
    <t>3 years pest control/weed control; TDA Pesticide Applicator required; First Aid/CPR; herbicide logs; spray equipment operation</t>
  </si>
  <si>
    <t>ESCAMILLA, IGNACIO G</t>
  </si>
  <si>
    <t>PARKS TECH II</t>
  </si>
  <si>
    <t>TDA License</t>
  </si>
  <si>
    <t>1-2 years maintenance + stronger field performance</t>
  </si>
  <si>
    <t>1-2 years grounds maintenance; TDA Pesticide Applicator within 12 months; First Aid/CPR; landscape and equipment maintenance</t>
  </si>
  <si>
    <t>Lead experience preferred</t>
  </si>
  <si>
    <t xml:space="preserve">PACHECO, RAFAEL </t>
  </si>
  <si>
    <t>TDA License, Irrigation Tech License, CPO</t>
  </si>
  <si>
    <t>MUNOZ, YEISON J</t>
  </si>
  <si>
    <t>STRASSER, SCOTT J</t>
  </si>
  <si>
    <t xml:space="preserve">FLORES MARTINEZ, MANUEL </t>
  </si>
  <si>
    <t>TDA License, CPO Certification</t>
  </si>
  <si>
    <t>PATLAN RAMIREZ, LUIS F</t>
  </si>
  <si>
    <t>MARTINEZ, JOSHUA R</t>
  </si>
  <si>
    <t>PARKS TECH I</t>
  </si>
  <si>
    <t>Training to Pass the TDA test</t>
  </si>
  <si>
    <t>Need TDA License</t>
  </si>
  <si>
    <t>Entry / demonstrated maintenance ability</t>
  </si>
  <si>
    <t>High school/GED; valid TX driver license; First Aid/CPR; entry grounds maintenance and irrigation assistance</t>
  </si>
  <si>
    <t>Develop maintenance and equipment skills</t>
  </si>
  <si>
    <t>First Aid / CPR</t>
  </si>
  <si>
    <t xml:space="preserve">MERKT, MARK </t>
  </si>
  <si>
    <t>DUFFY, CHRISTOPHER P</t>
  </si>
  <si>
    <t>CRAWFORD, EVAN M</t>
  </si>
  <si>
    <t>FOREMAN, ANDRA L</t>
  </si>
  <si>
    <t>ASST. DIRECTOR OF REC</t>
  </si>
  <si>
    <t>CPRP, CPSM</t>
  </si>
  <si>
    <t>Trying to get CFEA</t>
  </si>
  <si>
    <t>4 years related experience</t>
  </si>
  <si>
    <t>Bachelor’s in recreation or related field</t>
  </si>
  <si>
    <t>Bachelor's in recreation or related field; 4 years experience; CPRP required; First Aid/CPR; budgeting; volunteer and program management</t>
  </si>
  <si>
    <t>SCOTT, DEBORAH J</t>
  </si>
  <si>
    <t>REC SUPERVISOR</t>
  </si>
  <si>
    <t>High school + 4 years related experience; CPRP preferred; First Aid/CPR; budgeting; programming; marketing; volunteer management</t>
  </si>
  <si>
    <t>Budget, programming, volunteer and event oversight</t>
  </si>
  <si>
    <t>RISK OF VACANCY</t>
  </si>
  <si>
    <t>Count of Employee Name</t>
  </si>
  <si>
    <t>Column Labels</t>
  </si>
  <si>
    <t>Row Labels</t>
  </si>
  <si>
    <t>(blank)</t>
  </si>
  <si>
    <t>Grand Total</t>
  </si>
  <si>
    <t>Parks Crew Ldr with the high risk of vacancy, Parks Tech II with medium risk and Parks Tech I with lowest risk.</t>
  </si>
  <si>
    <t>IMPACT IF VACANT</t>
  </si>
  <si>
    <t>Asst. Director of Parks Operations, Asst. Director of Rec, 
Parks and Rec Director, and Parks Superintendent as the roles with highest impact if position is vacant.</t>
  </si>
  <si>
    <t>Category</t>
  </si>
  <si>
    <t>Criteria / Explanation</t>
  </si>
  <si>
    <t>Impact if Vacant</t>
  </si>
  <si>
    <t>Determined primarily using job descriptions and organizational hierarchy.</t>
  </si>
  <si>
    <t>High Impact Roles</t>
  </si>
  <si>
    <t>Director of Parks &amp; Recreation, Assistant Director roles, Parks Superintendent – responsible for department strategy, budgets, and major operations.</t>
  </si>
  <si>
    <t>Medium Impact Roles</t>
  </si>
  <si>
    <t>Parks Supervisor, Recreation Supervisor, Parks Crew Leader – responsible for supervising teams and coordinating operations.</t>
  </si>
  <si>
    <t>Low Impact Roles</t>
  </si>
  <si>
    <t>Technicians, Irrigation Specialist, Herbicide Technician, Administrative Assistant – operational or support roles where duties can be redistributed temporarily.</t>
  </si>
  <si>
    <t>Risk of Vacancy</t>
  </si>
  <si>
    <t>Determined using years with the organization, years in the current role, and leadership level.</t>
  </si>
  <si>
    <t>High Risk (Tenure)</t>
  </si>
  <si>
    <t>Employee has ≥10 years with the organization OR ≥7 years in the current role.</t>
  </si>
  <si>
    <t>Medium Risk (Tenure)</t>
  </si>
  <si>
    <t>Employee has 5–9 years with the organization OR 3–6 years in the current role.</t>
  </si>
  <si>
    <t>Low Risk (Tenure)</t>
  </si>
  <si>
    <t>Employee has 0–4 years with the organization AND less than ~3 years in the current role.</t>
  </si>
  <si>
    <t>Leadership Adjustment</t>
  </si>
  <si>
    <t>Director, Assistant Director, and Superintendent roles may be elevated to higher risk due to retirement, promotion, or succession sensitivity.</t>
  </si>
  <si>
    <t>Purpose of Risk Metric</t>
  </si>
  <si>
    <t>Risk reflects the likelihood that a position could become vacant due to retirement, promotion, or turnover.</t>
  </si>
  <si>
    <t>Purpose of Impact Metric</t>
  </si>
  <si>
    <t>Impact reflects how much operations or leadership capacity would be affected if the position were vacant.</t>
  </si>
  <si>
    <t>NOTE: These are temporary evaluations until we confirm with Kimberly if impact/risk data is missing or that's on us to do. BUT we are missing retirement data!</t>
  </si>
  <si>
    <t>NOTE: Determined Essential to meet state/local laws/Critical role responsibilities (Y/N) not provided, maybe not needed for Parks &amp; Rec?</t>
  </si>
  <si>
    <t>Employee ID</t>
  </si>
  <si>
    <t>Current Position</t>
  </si>
  <si>
    <t>Certifications / Skills Known Before Meetings</t>
  </si>
  <si>
    <t>Readiness Level</t>
  </si>
  <si>
    <t xml:space="preserve">Possible Retirement </t>
  </si>
  <si>
    <t>001</t>
  </si>
  <si>
    <t>Unknown / HR confirmation needed</t>
  </si>
  <si>
    <t>002</t>
  </si>
  <si>
    <t>Ready Now / 1-2 yrs</t>
  </si>
  <si>
    <t>003</t>
  </si>
  <si>
    <t>1-2 yrs</t>
  </si>
  <si>
    <t>004</t>
  </si>
  <si>
    <t>CPTM and CPO within 12 months; First Aid/CPR; supervision; hiring/training; records; safety and equipment oversight</t>
  </si>
  <si>
    <t>1-2 yrs / 3-5 yrs</t>
  </si>
  <si>
    <t>005</t>
  </si>
  <si>
    <t>3 years grounds maintenance; crew lead experience preferred; TDA Pesticide Applicator within 12 months; First Aid/CPR</t>
  </si>
  <si>
    <t>006</t>
  </si>
  <si>
    <t>007</t>
  </si>
  <si>
    <t>008</t>
  </si>
  <si>
    <t>009</t>
  </si>
  <si>
    <t>010</t>
  </si>
  <si>
    <t>3-5 yrs</t>
  </si>
  <si>
    <t>011</t>
  </si>
  <si>
    <t>012</t>
  </si>
  <si>
    <t>013</t>
  </si>
  <si>
    <t>014</t>
  </si>
  <si>
    <t>015</t>
  </si>
  <si>
    <t>016</t>
  </si>
  <si>
    <t>017</t>
  </si>
  <si>
    <t>018</t>
  </si>
  <si>
    <t>3-5 yrs / Developing</t>
  </si>
  <si>
    <t>019</t>
  </si>
  <si>
    <t>020</t>
  </si>
  <si>
    <t>021</t>
  </si>
  <si>
    <t>022</t>
  </si>
  <si>
    <t>023</t>
  </si>
  <si>
    <t>Promotion Requirements</t>
  </si>
  <si>
    <t>Promotion Target</t>
  </si>
  <si>
    <t>Minimum Experience</t>
  </si>
  <si>
    <t>Certifications Needed</t>
  </si>
  <si>
    <t>Additional Requirements</t>
  </si>
  <si>
    <t>Parks Tech I</t>
  </si>
  <si>
    <t>Parks Tech II</t>
  </si>
  <si>
    <t>First Aid/CPR; valid TX driver license</t>
  </si>
  <si>
    <t>Parks Crew Leader</t>
  </si>
  <si>
    <t>Parks Supervisor</t>
  </si>
  <si>
    <t>CPTM and CPO pathway; safety leadership</t>
  </si>
  <si>
    <t>Parks Superintendent</t>
  </si>
  <si>
    <t>5 years field experience</t>
  </si>
  <si>
    <t>Certified Playground Safety; CMMS / budgeting exposure</t>
  </si>
  <si>
    <t>Asst. Director of Parks Operations</t>
  </si>
  <si>
    <t>Broad operations leadership</t>
  </si>
  <si>
    <t>CPRP; project and contract management</t>
  </si>
  <si>
    <t>Rec Supervisor</t>
  </si>
  <si>
    <t>Asst. Director of Recreation</t>
  </si>
  <si>
    <t>CPRP preferred/required for target role</t>
  </si>
  <si>
    <t>Asst. Director roles</t>
  </si>
  <si>
    <t>Director of Parks &amp; Recreation</t>
  </si>
  <si>
    <t>Senior leadership experience</t>
  </si>
  <si>
    <t>Promotion Process</t>
  </si>
  <si>
    <t>Position</t>
  </si>
  <si>
    <t>Written Exam</t>
  </si>
  <si>
    <t>Practical Evaluation</t>
  </si>
  <si>
    <t>Assessment Center</t>
  </si>
  <si>
    <t>Interview Panel</t>
  </si>
  <si>
    <t>All Parks Roles</t>
  </si>
  <si>
    <t>Not documented in materials provided</t>
  </si>
  <si>
    <t>Promotion Eligibility</t>
  </si>
  <si>
    <t>Minimum Years / Background</t>
  </si>
  <si>
    <t>Key Certifications</t>
  </si>
  <si>
    <t>Education Notes</t>
  </si>
  <si>
    <t>CPTM, CPO, First Aid/CPR</t>
  </si>
  <si>
    <t>Parks &amp; Trails Superintendent</t>
  </si>
  <si>
    <t>Certified Playground Safety, First Aid/CPR</t>
  </si>
  <si>
    <t>Assistant Director of Recreation</t>
  </si>
  <si>
    <t>CPRP, First Aid/CPR</t>
  </si>
  <si>
    <t>Assistant Director of Parks Operations</t>
  </si>
  <si>
    <t>7 years field; 3 supervisory</t>
  </si>
  <si>
    <t>Promotional Testing Structure</t>
  </si>
  <si>
    <t>Evaluation Component</t>
  </si>
  <si>
    <t>Description</t>
  </si>
  <si>
    <t>Parks roles</t>
  </si>
  <si>
    <t>Not documented</t>
  </si>
  <si>
    <t>Promotion testing process was not included in the materials provided</t>
  </si>
  <si>
    <t>Task Book / Training Requirements</t>
  </si>
  <si>
    <t>Timing</t>
  </si>
  <si>
    <t>Within 12 months</t>
  </si>
  <si>
    <t>Within 12 months of obtaining position</t>
  </si>
  <si>
    <t>Within 24 months</t>
  </si>
  <si>
    <t>Irrigation Specialist</t>
  </si>
  <si>
    <t>Herbicide Technician</t>
  </si>
  <si>
    <t>Required</t>
  </si>
  <si>
    <t>Most roles</t>
  </si>
  <si>
    <t>Within 3 months</t>
  </si>
  <si>
    <t>Assistant Director / Director recreation track</t>
  </si>
  <si>
    <t>Required or strongly preferred</t>
  </si>
  <si>
    <t>Promotion Pipeline</t>
  </si>
  <si>
    <t>Current Role</t>
  </si>
  <si>
    <t>Next Role</t>
  </si>
  <si>
    <t>Typical Certifications Observed</t>
  </si>
  <si>
    <t>First Aid/CPR; maintenance fundamentals</t>
  </si>
  <si>
    <t>TDA Pesticide Applicator; stronger field leadership</t>
  </si>
  <si>
    <t>CPTM/CPO pathway; supervision</t>
  </si>
  <si>
    <t>Certified Playground Safety; CMMS; budgeting</t>
  </si>
  <si>
    <t>CPRP; project / contract management</t>
  </si>
  <si>
    <t>CPRP; programming/budget leadership</t>
  </si>
  <si>
    <t>Assistant Directors</t>
  </si>
  <si>
    <t>CPRP; executive leadership</t>
  </si>
  <si>
    <t>Position Level</t>
  </si>
  <si>
    <t>Current Employees</t>
  </si>
  <si>
    <t>Potential Successors Before Meeting</t>
  </si>
  <si>
    <t>Potential Successors After Meeting</t>
  </si>
  <si>
    <t>Notes</t>
  </si>
  <si>
    <t>002, 022</t>
  </si>
  <si>
    <t>Brian Norton, Andra Foreman</t>
  </si>
  <si>
    <t>Assistant Directors already manage major divisions and carry budget/program leadership responsibilities.</t>
  </si>
  <si>
    <t>Assistant directors are the clearest internal succession pool.</t>
  </si>
  <si>
    <t>Assistant Director of Parks Operations &amp; Projects</t>
  </si>
  <si>
    <t>003, 004</t>
  </si>
  <si>
    <t>Superintendent and Supervisor both work in parks operations and already oversee staff, scheduling, and maintenance priorities.</t>
  </si>
  <si>
    <t>Superintendent is strongest immediate feeder role.</t>
  </si>
  <si>
    <t>Recreation Supervisor already manages programs, budgets, volunteers, and community events.</t>
  </si>
  <si>
    <t>Direct recreation pipeline is limited but visible.</t>
  </si>
  <si>
    <t>Parks Supervisor already supervises crews, safety, equipment, and daily work execution.</t>
  </si>
  <si>
    <t>Most direct operational feeder role.</t>
  </si>
  <si>
    <t>005, 006, 007, 008, 009, 010, 011</t>
  </si>
  <si>
    <t>Ignacio Gomez, Justin Morgan</t>
  </si>
  <si>
    <t>Crew Leaders and specialists hold field expertise and can develop supervision, scheduling, and records skills.</t>
  </si>
  <si>
    <t>Crew Leaders are strongest current bench.</t>
  </si>
  <si>
    <t>Recreation Supervisor</t>
  </si>
  <si>
    <t>022 backup / future recreation staff</t>
  </si>
  <si>
    <t>Recreation pathway appears narrower; Assistant Director can cover while lower-level recreation talent develops.</t>
  </si>
  <si>
    <t>Need stronger recreation bench over time.</t>
  </si>
  <si>
    <t>005, 006, 007, 008, 009</t>
  </si>
  <si>
    <t>012, 013, 014, 015, 016, 017</t>
  </si>
  <si>
    <t>Tech II employees already perform higher-skill maintenance and are the logical next internal step.</t>
  </si>
  <si>
    <t>Tech II is the main feeder role.</t>
  </si>
  <si>
    <t>Parks Irrigation/Project Specialist</t>
  </si>
  <si>
    <t>012, 013, 014, 015, 016, 017, 018, 019, 020, 021</t>
  </si>
  <si>
    <t>Technicians can be cross-trained into irrigation specialty through licenses and project exposure.</t>
  </si>
  <si>
    <t>Specialized track; cross-training matters.</t>
  </si>
  <si>
    <t>Pest Control/Herbicide Technician</t>
  </si>
  <si>
    <t>Technicians can move into this specialty through TDA applicator training and field experience.</t>
  </si>
  <si>
    <t>Parks Technician II</t>
  </si>
  <si>
    <t>018, 019, 020, 021</t>
  </si>
  <si>
    <t>Tech I employees are the direct entry pipeline for Tech II.</t>
  </si>
  <si>
    <t>Operational workforce pipeline.</t>
  </si>
  <si>
    <t>Parks Technician I</t>
  </si>
  <si>
    <t>Future hires / developing staff</t>
  </si>
  <si>
    <t>Entry-level employees who gain maintenance experience and certifications before moving up.</t>
  </si>
  <si>
    <t>Parks &amp; Recreation Administrative Assistant</t>
  </si>
  <si>
    <t>Vacant / not listed separately in current workforce tab</t>
  </si>
  <si>
    <t>Cross-trained recreation/admin backup</t>
  </si>
  <si>
    <t>Administrative support knowledge can be cross-trained, but the role appears to have limited bench strength.</t>
  </si>
  <si>
    <t>Recommend cross-training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</si>
</sst>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font>
      <sz val="11"/>
      <color theme="1"/>
      <name val="Calibri"/>
      <family val="2"/>
      <scheme val="minor"/>
    </font>
    <font>
      <b/>
      <sz val="11"/>
      <color theme="1"/>
      <name val="Calibri"/>
      <family val="2"/>
      <scheme val="minor"/>
    </font>
    <font>
      <b/>
      <sz val="11"/>
      <name val="Calibri"/>
      <family val="2"/>
    </font>
    <font>
      <sz val="8"/>
      <name val="Microsoft Sans Serif"/>
      <family val="2"/>
    </font>
    <font>
      <b/>
      <u/>
      <sz val="11"/>
      <color theme="1"/>
      <name val="Calibri"/>
      <family val="2"/>
      <scheme val="minor"/>
    </font>
    <font>
      <sz val="11"/>
      <color rgb="FF000000"/>
      <name val="Calibri"/>
      <family val="2"/>
    </font>
    <font>
      <b/>
      <sz val="11"/>
      <color rgb="FF000000"/>
      <name val="Calibri"/>
      <scheme val="minor"/>
    </font>
  </fonts>
  <fills count="12">
    <fill>
      <patternFill patternType="none"/>
    </fill>
    <fill>
      <patternFill patternType="gray125"/>
    </fill>
    <fill>
      <patternFill patternType="solid">
        <fgColor theme="9" tint="0.59999389629810485"/>
        <bgColor indexed="64"/>
      </patternFill>
    </fill>
    <fill>
      <patternFill patternType="solid">
        <fgColor theme="1" tint="4.9989318521683403E-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AFFF"/>
        <bgColor indexed="64"/>
      </patternFill>
    </fill>
    <fill>
      <patternFill patternType="solid">
        <fgColor rgb="FFFF9797"/>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s>
  <cellStyleXfs count="1">
    <xf numFmtId="0" fontId="0" fillId="0" borderId="0"/>
  </cellStyleXfs>
  <cellXfs count="71">
    <xf numFmtId="0" fontId="0" fillId="0" borderId="0" xfId="0"/>
    <xf numFmtId="0" fontId="1" fillId="0" borderId="0" xfId="0" applyFont="1"/>
    <xf numFmtId="0" fontId="3" fillId="0" borderId="1" xfId="0" applyFont="1" applyBorder="1" applyAlignment="1">
      <alignment horizontal="left" vertical="top"/>
    </xf>
    <xf numFmtId="164" fontId="3" fillId="0" borderId="1" xfId="0" applyNumberFormat="1" applyFont="1" applyBorder="1" applyAlignment="1">
      <alignment horizontal="right" vertical="top"/>
    </xf>
    <xf numFmtId="0" fontId="1" fillId="0" borderId="1" xfId="0" applyFont="1" applyBorder="1"/>
    <xf numFmtId="0" fontId="2" fillId="0" borderId="1" xfId="0" applyFont="1" applyBorder="1" applyAlignment="1">
      <alignment horizontal="center"/>
    </xf>
    <xf numFmtId="0" fontId="2" fillId="0" borderId="1" xfId="0" applyFont="1" applyBorder="1" applyAlignment="1">
      <alignment horizontal="center" wrapText="1"/>
    </xf>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3" xfId="0" applyBorder="1"/>
    <xf numFmtId="0" fontId="0" fillId="0" borderId="1" xfId="0" applyBorder="1" applyAlignment="1">
      <alignment horizontal="center"/>
    </xf>
    <xf numFmtId="0" fontId="4" fillId="0" borderId="1" xfId="0" applyFont="1"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4" fillId="0" borderId="4" xfId="0" applyFont="1" applyBorder="1" applyAlignment="1">
      <alignment horizontal="center"/>
    </xf>
    <xf numFmtId="0" fontId="4" fillId="0" borderId="6" xfId="0" applyFont="1" applyBorder="1" applyAlignment="1">
      <alignment horizontal="center"/>
    </xf>
    <xf numFmtId="0" fontId="0" fillId="0" borderId="5" xfId="0" applyBorder="1" applyAlignment="1">
      <alignment horizontal="center"/>
    </xf>
    <xf numFmtId="0" fontId="4" fillId="0" borderId="2" xfId="0" applyFont="1" applyBorder="1" applyAlignment="1">
      <alignment horizontal="center"/>
    </xf>
    <xf numFmtId="0" fontId="0" fillId="0" borderId="7" xfId="0" applyBorder="1" applyAlignment="1">
      <alignment horizontal="center"/>
    </xf>
    <xf numFmtId="0" fontId="4" fillId="0" borderId="0" xfId="0" applyFont="1" applyAlignment="1">
      <alignment horizontal="center"/>
    </xf>
    <xf numFmtId="0" fontId="1" fillId="4" borderId="8" xfId="0" applyFont="1" applyFill="1" applyBorder="1"/>
    <xf numFmtId="0" fontId="1" fillId="5" borderId="8" xfId="0" applyFont="1" applyFill="1" applyBorder="1"/>
    <xf numFmtId="0" fontId="1" fillId="2" borderId="8" xfId="0" applyFont="1" applyFill="1" applyBorder="1"/>
    <xf numFmtId="0" fontId="1" fillId="6" borderId="8" xfId="0" applyFont="1" applyFill="1" applyBorder="1"/>
    <xf numFmtId="0" fontId="1" fillId="7" borderId="8" xfId="0" applyFont="1" applyFill="1" applyBorder="1"/>
    <xf numFmtId="0" fontId="1" fillId="8" borderId="8" xfId="0" applyFont="1" applyFill="1" applyBorder="1"/>
    <xf numFmtId="0" fontId="0" fillId="0" borderId="0" xfId="0" pivotButton="1"/>
    <xf numFmtId="0" fontId="0" fillId="0" borderId="0" xfId="0" applyAlignment="1">
      <alignment horizontal="left"/>
    </xf>
    <xf numFmtId="0" fontId="0" fillId="9" borderId="0" xfId="0" applyFill="1"/>
    <xf numFmtId="0" fontId="0" fillId="0" borderId="0" xfId="0" applyAlignment="1">
      <alignment wrapText="1"/>
    </xf>
    <xf numFmtId="0" fontId="3" fillId="0" borderId="1" xfId="0" applyFont="1" applyBorder="1"/>
    <xf numFmtId="0" fontId="3" fillId="0" borderId="2" xfId="0" applyFont="1" applyBorder="1"/>
    <xf numFmtId="0" fontId="5" fillId="0" borderId="1" xfId="0" applyFont="1" applyBorder="1"/>
    <xf numFmtId="0" fontId="5" fillId="0" borderId="2" xfId="0" applyFont="1" applyBorder="1"/>
    <xf numFmtId="0" fontId="5" fillId="0" borderId="2" xfId="0" applyFont="1" applyBorder="1" applyAlignment="1">
      <alignment wrapText="1"/>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3" xfId="0" applyFont="1" applyBorder="1"/>
    <xf numFmtId="0" fontId="1" fillId="0" borderId="10" xfId="0" applyFont="1" applyBorder="1"/>
    <xf numFmtId="0" fontId="1" fillId="10" borderId="1" xfId="0" applyFont="1" applyFill="1" applyBorder="1"/>
    <xf numFmtId="0" fontId="0" fillId="10" borderId="1" xfId="0" applyFill="1" applyBorder="1"/>
    <xf numFmtId="0" fontId="3" fillId="0" borderId="12" xfId="0" applyFont="1" applyBorder="1" applyAlignment="1">
      <alignment horizontal="left" vertical="top"/>
    </xf>
    <xf numFmtId="0" fontId="2" fillId="0" borderId="9" xfId="0" applyFont="1" applyBorder="1" applyAlignment="1">
      <alignment horizontal="center"/>
    </xf>
    <xf numFmtId="0" fontId="3" fillId="10" borderId="1" xfId="0" applyFont="1" applyFill="1" applyBorder="1" applyAlignment="1">
      <alignment horizontal="left" vertical="top"/>
    </xf>
    <xf numFmtId="0" fontId="3" fillId="10" borderId="12" xfId="0" applyFont="1" applyFill="1" applyBorder="1" applyAlignment="1">
      <alignment horizontal="left" vertical="top"/>
    </xf>
    <xf numFmtId="0" fontId="0" fillId="10" borderId="0" xfId="0" applyFill="1"/>
    <xf numFmtId="164" fontId="3" fillId="10" borderId="3" xfId="0" applyNumberFormat="1" applyFont="1" applyFill="1" applyBorder="1" applyAlignment="1">
      <alignment horizontal="right" vertical="top"/>
    </xf>
    <xf numFmtId="164" fontId="3" fillId="10" borderId="1" xfId="0" applyNumberFormat="1" applyFont="1" applyFill="1" applyBorder="1" applyAlignment="1">
      <alignment horizontal="right" vertical="top"/>
    </xf>
    <xf numFmtId="0" fontId="5" fillId="10" borderId="2" xfId="0" applyFont="1" applyFill="1" applyBorder="1"/>
    <xf numFmtId="0" fontId="0" fillId="10" borderId="12" xfId="0" applyFill="1" applyBorder="1"/>
    <xf numFmtId="0" fontId="0" fillId="10" borderId="11" xfId="0" applyFill="1" applyBorder="1"/>
    <xf numFmtId="164" fontId="3" fillId="10" borderId="9" xfId="0" applyNumberFormat="1" applyFont="1" applyFill="1" applyBorder="1" applyAlignment="1">
      <alignment horizontal="right" vertical="top"/>
    </xf>
    <xf numFmtId="0" fontId="0" fillId="10" borderId="9" xfId="0" applyFill="1" applyBorder="1"/>
    <xf numFmtId="0" fontId="0" fillId="10" borderId="15" xfId="0" applyFill="1" applyBorder="1"/>
    <xf numFmtId="0" fontId="5" fillId="0" borderId="11" xfId="0" applyFont="1" applyBorder="1" applyAlignment="1">
      <alignment horizontal="center"/>
    </xf>
    <xf numFmtId="164" fontId="3" fillId="0" borderId="3" xfId="0" applyNumberFormat="1" applyFont="1" applyBorder="1" applyAlignment="1">
      <alignment horizontal="center" vertical="top"/>
    </xf>
    <xf numFmtId="2" fontId="3"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2" fontId="3" fillId="0" borderId="12" xfId="0" applyNumberFormat="1" applyFont="1" applyBorder="1" applyAlignment="1">
      <alignment horizontal="center" vertical="top"/>
    </xf>
    <xf numFmtId="0" fontId="6" fillId="0" borderId="11" xfId="0" applyFont="1" applyBorder="1"/>
    <xf numFmtId="0" fontId="0" fillId="10" borderId="14" xfId="0" applyFill="1" applyBorder="1"/>
    <xf numFmtId="164" fontId="3" fillId="0" borderId="1" xfId="0" applyNumberFormat="1" applyFont="1" applyBorder="1" applyAlignment="1">
      <alignment horizontal="left" vertical="top"/>
    </xf>
    <xf numFmtId="0" fontId="5" fillId="0" borderId="1" xfId="0" applyFont="1" applyBorder="1" applyAlignment="1">
      <alignment horizontal="left"/>
    </xf>
    <xf numFmtId="0" fontId="5" fillId="10" borderId="2" xfId="0" applyFont="1" applyFill="1" applyBorder="1" applyAlignment="1">
      <alignment horizontal="left"/>
    </xf>
    <xf numFmtId="164" fontId="3" fillId="10" borderId="9" xfId="0" applyNumberFormat="1" applyFont="1" applyFill="1" applyBorder="1" applyAlignment="1">
      <alignment horizontal="center" vertical="top"/>
    </xf>
    <xf numFmtId="0" fontId="3" fillId="11" borderId="2" xfId="0" applyFont="1" applyFill="1" applyBorder="1"/>
    <xf numFmtId="0" fontId="3" fillId="11" borderId="13" xfId="0" applyFont="1" applyFill="1" applyBorder="1"/>
    <xf numFmtId="0" fontId="1" fillId="11" borderId="1" xfId="0" applyFont="1" applyFill="1" applyBorder="1"/>
    <xf numFmtId="0" fontId="1" fillId="11" borderId="1" xfId="0" applyFont="1" applyFill="1" applyBorder="1" applyAlignment="1">
      <alignment wrapText="1"/>
    </xf>
  </cellXfs>
  <cellStyles count="1">
    <cellStyle name="Normal" xfId="0" builtinId="0"/>
  </cellStyles>
  <dxfs count="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FF9797"/>
      <color rgb="FFFFA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tran, Jacqueline" refreshedDate="46088.686844675925" createdVersion="8" refreshedVersion="8" minRefreshableVersion="3" recordCount="24" xr:uid="{F815E041-44DB-4578-AE11-5737DF205F37}">
  <cacheSource type="worksheet">
    <worksheetSource ref="A2:Y26" sheet="Current Workforce "/>
  </cacheSource>
  <cacheFields count="24">
    <cacheField name="Employee Name" numFmtId="0">
      <sharedItems/>
    </cacheField>
    <cacheField name="Position Title" numFmtId="0">
      <sharedItems containsBlank="1" count="12">
        <s v="PARKS &amp; REC DIR"/>
        <m/>
        <s v="ASST. DIRECTOR OF PARKS OPERATIONS"/>
        <s v="PARKS SUPERINT"/>
        <s v="PARKS SUPERVISOR"/>
        <s v="PARKS CREW LDR"/>
        <s v="PARKS IRRIGATION/PROJECT SPECIALIST"/>
        <s v="PEST CONTROL/HERBICIDE TECHNICIAN"/>
        <s v="PARKS TECH II"/>
        <s v="PARKS TECH I"/>
        <s v="ASST. DIRECTOR OF REC"/>
        <s v="REC SUPERVISOR"/>
      </sharedItems>
    </cacheField>
    <cacheField name="Hire Date" numFmtId="164">
      <sharedItems containsNonDate="0" containsDate="1" containsString="0" containsBlank="1" minDate="2001-06-21T00:00:00" maxDate="2024-07-09T00:00:00"/>
    </cacheField>
    <cacheField name="Years with Organization" numFmtId="0">
      <sharedItems containsString="0" containsBlank="1" containsNumber="1" containsInteger="1" minValue="2" maxValue="25"/>
    </cacheField>
    <cacheField name="Years in Current Role" numFmtId="0">
      <sharedItems containsDate="1" containsBlank="1" containsMixedTypes="1" minDate="2005-09-01T00:00:00" maxDate="2025-10-14T00:00:00"/>
    </cacheField>
    <cacheField name="Years in Current Role (In Number of Yrs)" numFmtId="0">
      <sharedItems containsString="0" containsBlank="1" containsNumber="1" containsInteger="1" minValue="0" maxValue="25"/>
    </cacheField>
    <cacheField name="Risk of Vacancy (Low/Medium/High)" numFmtId="0">
      <sharedItems containsBlank="1" count="4">
        <s v="High"/>
        <m/>
        <s v="Medium"/>
        <s v="Low"/>
      </sharedItems>
    </cacheField>
    <cacheField name="Impact if Vacant (Low/Medium/High)" numFmtId="0">
      <sharedItems containsBlank="1" count="4">
        <s v="High"/>
        <m/>
        <s v="Medium"/>
        <s v="Low"/>
      </sharedItems>
    </cacheField>
    <cacheField name="Retirement Eligibility or Anticipated Resignation Date" numFmtId="0">
      <sharedItems containsNonDate="0" containsString="0" containsBlank="1"/>
    </cacheField>
    <cacheField name="Determined Essential to meet state/local laws/Critical role responsibilities (Y/N)" numFmtId="0">
      <sharedItems containsNonDate="0" containsString="0" containsBlank="1"/>
    </cacheField>
    <cacheField name="Who provides backup coverage for essential employees (if any)" numFmtId="0">
      <sharedItems containsNonDate="0" containsString="0" containsBlank="1"/>
    </cacheField>
    <cacheField name="Successor Identified (Y/N)" numFmtId="0">
      <sharedItems containsNonDate="0" containsString="0" containsBlank="1"/>
    </cacheField>
    <cacheField name="Potential Successor Name" numFmtId="0">
      <sharedItems containsNonDate="0" containsString="0" containsBlank="1"/>
    </cacheField>
    <cacheField name="Succession Readiness (Ready Now / 1-2 yrs / 3-5 yrs)" numFmtId="0">
      <sharedItems containsNonDate="0" containsString="0" containsBlank="1"/>
    </cacheField>
    <cacheField name="Meets Minimum Qualifications for Promotion (Y/N)" numFmtId="0">
      <sharedItems containsNonDate="0" containsString="0" containsBlank="1"/>
    </cacheField>
    <cacheField name="Performance Rating (Last Review)" numFmtId="0">
      <sharedItems containsNonDate="0" containsString="0" containsBlank="1"/>
    </cacheField>
    <cacheField name="Promotion Readiness (Ready Now / Developing / Not Ready)" numFmtId="0">
      <sharedItems containsNonDate="0" containsString="0" containsBlank="1"/>
    </cacheField>
    <cacheField name="Development Needs" numFmtId="0">
      <sharedItems containsNonDate="0" containsString="0" containsBlank="1"/>
    </cacheField>
    <cacheField name="Training / Education / Skills Needed for Promotion" numFmtId="0">
      <sharedItems containsNonDate="0" containsString="0" containsBlank="1"/>
    </cacheField>
    <cacheField name="Training Priority (High/Medium/Low)" numFmtId="0">
      <sharedItems containsNonDate="0" containsString="0" containsBlank="1"/>
    </cacheField>
    <cacheField name="Training Type Needed (Leadership/Technical/Compliance/Cross-training)" numFmtId="0">
      <sharedItems containsNonDate="0" containsString="0" containsBlank="1"/>
    </cacheField>
    <cacheField name="Training Status (Not Started/In Progress/Completed)" numFmtId="0">
      <sharedItems containsNonDate="0" containsString="0" containsBlank="1"/>
    </cacheField>
    <cacheField name="Planned Completion Date" numFmtId="0">
      <sharedItems containsNonDate="0" containsString="0" containsBlank="1"/>
    </cacheField>
    <cacheField name="Actual Completion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001"/>
    <x v="0"/>
    <d v="2017-11-06T00:00:00"/>
    <n v="8"/>
    <s v="Same"/>
    <n v="8"/>
    <x v="0"/>
    <x v="0"/>
    <m/>
    <m/>
    <m/>
    <m/>
    <m/>
    <m/>
    <m/>
    <m/>
    <m/>
    <m/>
    <m/>
    <m/>
    <m/>
    <m/>
    <m/>
    <m/>
  </r>
  <r>
    <s v="Vacant"/>
    <x v="1"/>
    <m/>
    <m/>
    <m/>
    <m/>
    <x v="1"/>
    <x v="1"/>
    <m/>
    <m/>
    <m/>
    <m/>
    <m/>
    <m/>
    <m/>
    <m/>
    <m/>
    <m/>
    <m/>
    <m/>
    <m/>
    <m/>
    <m/>
    <m/>
  </r>
  <r>
    <s v="002"/>
    <x v="2"/>
    <d v="2022-04-18T00:00:00"/>
    <n v="4"/>
    <s v="Same"/>
    <n v="4"/>
    <x v="2"/>
    <x v="0"/>
    <m/>
    <m/>
    <m/>
    <m/>
    <m/>
    <m/>
    <m/>
    <m/>
    <m/>
    <m/>
    <m/>
    <m/>
    <m/>
    <m/>
    <m/>
    <m/>
  </r>
  <r>
    <s v="003"/>
    <x v="3"/>
    <d v="2007-10-08T00:00:00"/>
    <n v="18"/>
    <d v="2022-10-03T00:00:00"/>
    <n v="3"/>
    <x v="0"/>
    <x v="0"/>
    <m/>
    <m/>
    <m/>
    <m/>
    <m/>
    <m/>
    <m/>
    <m/>
    <m/>
    <m/>
    <m/>
    <m/>
    <m/>
    <m/>
    <m/>
    <m/>
  </r>
  <r>
    <s v="004"/>
    <x v="4"/>
    <d v="2012-08-13T00:00:00"/>
    <n v="14"/>
    <d v="2022-10-17T00:00:00"/>
    <n v="3"/>
    <x v="0"/>
    <x v="2"/>
    <m/>
    <m/>
    <m/>
    <m/>
    <m/>
    <m/>
    <m/>
    <m/>
    <m/>
    <m/>
    <m/>
    <m/>
    <m/>
    <m/>
    <m/>
    <m/>
  </r>
  <r>
    <s v="005"/>
    <x v="5"/>
    <d v="2017-11-20T00:00:00"/>
    <n v="8"/>
    <d v="2020-11-30T00:00:00"/>
    <n v="5"/>
    <x v="2"/>
    <x v="2"/>
    <m/>
    <m/>
    <m/>
    <m/>
    <m/>
    <m/>
    <m/>
    <m/>
    <m/>
    <m/>
    <m/>
    <m/>
    <m/>
    <m/>
    <m/>
    <m/>
  </r>
  <r>
    <s v="006"/>
    <x v="5"/>
    <d v="2015-06-22T00:00:00"/>
    <n v="11"/>
    <d v="2023-11-27T00:00:00"/>
    <n v="2"/>
    <x v="0"/>
    <x v="2"/>
    <m/>
    <m/>
    <m/>
    <m/>
    <m/>
    <m/>
    <m/>
    <m/>
    <m/>
    <m/>
    <m/>
    <m/>
    <m/>
    <m/>
    <m/>
    <m/>
  </r>
  <r>
    <s v="007"/>
    <x v="5"/>
    <d v="2001-06-21T00:00:00"/>
    <n v="25"/>
    <s v="Same"/>
    <n v="25"/>
    <x v="0"/>
    <x v="2"/>
    <m/>
    <m/>
    <m/>
    <m/>
    <m/>
    <m/>
    <m/>
    <m/>
    <m/>
    <m/>
    <m/>
    <m/>
    <m/>
    <m/>
    <m/>
    <m/>
  </r>
  <r>
    <s v="008"/>
    <x v="5"/>
    <d v="2016-02-01T00:00:00"/>
    <n v="10"/>
    <d v="2021-02-22T00:00:00"/>
    <n v="5"/>
    <x v="0"/>
    <x v="2"/>
    <m/>
    <m/>
    <m/>
    <m/>
    <m/>
    <m/>
    <m/>
    <m/>
    <m/>
    <m/>
    <m/>
    <m/>
    <m/>
    <m/>
    <m/>
    <m/>
  </r>
  <r>
    <s v="009"/>
    <x v="5"/>
    <d v="2021-01-19T00:00:00"/>
    <n v="5"/>
    <d v="2022-11-10T00:00:00"/>
    <n v="3"/>
    <x v="2"/>
    <x v="2"/>
    <m/>
    <m/>
    <m/>
    <m/>
    <m/>
    <m/>
    <m/>
    <m/>
    <m/>
    <m/>
    <m/>
    <m/>
    <m/>
    <m/>
    <m/>
    <m/>
  </r>
  <r>
    <s v="010"/>
    <x v="6"/>
    <d v="2017-07-10T00:00:00"/>
    <n v="9"/>
    <d v="2022-07-11T00:00:00"/>
    <n v="4"/>
    <x v="2"/>
    <x v="3"/>
    <m/>
    <m/>
    <m/>
    <m/>
    <m/>
    <m/>
    <m/>
    <m/>
    <m/>
    <m/>
    <m/>
    <m/>
    <m/>
    <m/>
    <m/>
    <m/>
  </r>
  <r>
    <s v="011"/>
    <x v="7"/>
    <d v="2018-02-12T00:00:00"/>
    <n v="8"/>
    <d v="2021-11-11T00:00:00"/>
    <n v="4"/>
    <x v="2"/>
    <x v="3"/>
    <m/>
    <m/>
    <m/>
    <m/>
    <m/>
    <m/>
    <m/>
    <m/>
    <m/>
    <m/>
    <m/>
    <m/>
    <m/>
    <m/>
    <m/>
    <m/>
  </r>
  <r>
    <s v="012"/>
    <x v="8"/>
    <d v="2018-07-02T00:00:00"/>
    <n v="8"/>
    <d v="2023-05-01T00:00:00"/>
    <n v="3"/>
    <x v="2"/>
    <x v="3"/>
    <m/>
    <m/>
    <m/>
    <m/>
    <m/>
    <m/>
    <m/>
    <m/>
    <m/>
    <m/>
    <m/>
    <m/>
    <m/>
    <m/>
    <m/>
    <m/>
  </r>
  <r>
    <s v="013"/>
    <x v="8"/>
    <d v="2021-04-26T00:00:00"/>
    <n v="5"/>
    <d v="2023-04-17T00:00:00"/>
    <n v="3"/>
    <x v="2"/>
    <x v="3"/>
    <m/>
    <m/>
    <m/>
    <m/>
    <m/>
    <m/>
    <m/>
    <m/>
    <m/>
    <m/>
    <m/>
    <m/>
    <m/>
    <m/>
    <m/>
    <m/>
  </r>
  <r>
    <s v="014"/>
    <x v="8"/>
    <d v="2023-05-01T00:00:00"/>
    <n v="3"/>
    <d v="2023-10-02T00:00:00"/>
    <n v="2"/>
    <x v="3"/>
    <x v="3"/>
    <m/>
    <m/>
    <m/>
    <m/>
    <m/>
    <m/>
    <m/>
    <m/>
    <m/>
    <m/>
    <m/>
    <m/>
    <m/>
    <m/>
    <m/>
    <m/>
  </r>
  <r>
    <s v="015"/>
    <x v="8"/>
    <d v="2005-09-01T00:00:00"/>
    <n v="21"/>
    <d v="2005-09-01T00:00:00"/>
    <n v="21"/>
    <x v="0"/>
    <x v="3"/>
    <m/>
    <m/>
    <m/>
    <m/>
    <m/>
    <m/>
    <m/>
    <m/>
    <m/>
    <m/>
    <m/>
    <m/>
    <m/>
    <m/>
    <m/>
    <m/>
  </r>
  <r>
    <s v="016"/>
    <x v="8"/>
    <d v="2018-11-26T00:00:00"/>
    <n v="7"/>
    <d v="2023-07-10T00:00:00"/>
    <n v="3"/>
    <x v="2"/>
    <x v="3"/>
    <m/>
    <m/>
    <m/>
    <m/>
    <m/>
    <m/>
    <m/>
    <m/>
    <m/>
    <m/>
    <m/>
    <m/>
    <m/>
    <m/>
    <m/>
    <m/>
  </r>
  <r>
    <s v="017"/>
    <x v="8"/>
    <d v="2024-02-19T00:00:00"/>
    <n v="2"/>
    <d v="2025-10-13T00:00:00"/>
    <n v="0"/>
    <x v="3"/>
    <x v="3"/>
    <m/>
    <m/>
    <m/>
    <m/>
    <m/>
    <m/>
    <m/>
    <m/>
    <m/>
    <m/>
    <m/>
    <m/>
    <m/>
    <m/>
    <m/>
    <m/>
  </r>
  <r>
    <s v="018"/>
    <x v="9"/>
    <d v="2024-07-08T00:00:00"/>
    <n v="2"/>
    <s v="Same"/>
    <n v="2"/>
    <x v="3"/>
    <x v="3"/>
    <m/>
    <m/>
    <m/>
    <m/>
    <m/>
    <m/>
    <m/>
    <m/>
    <m/>
    <m/>
    <m/>
    <m/>
    <m/>
    <m/>
    <m/>
    <m/>
  </r>
  <r>
    <s v="019"/>
    <x v="9"/>
    <d v="2022-12-19T00:00:00"/>
    <n v="3"/>
    <s v="Same"/>
    <n v="3"/>
    <x v="2"/>
    <x v="3"/>
    <m/>
    <m/>
    <m/>
    <m/>
    <m/>
    <m/>
    <m/>
    <m/>
    <m/>
    <m/>
    <m/>
    <m/>
    <m/>
    <m/>
    <m/>
    <m/>
  </r>
  <r>
    <s v="020"/>
    <x v="9"/>
    <d v="2023-11-27T00:00:00"/>
    <n v="2"/>
    <s v="Same"/>
    <n v="2"/>
    <x v="3"/>
    <x v="3"/>
    <m/>
    <m/>
    <m/>
    <m/>
    <m/>
    <m/>
    <m/>
    <m/>
    <m/>
    <m/>
    <m/>
    <m/>
    <m/>
    <m/>
    <m/>
    <m/>
  </r>
  <r>
    <s v="021"/>
    <x v="9"/>
    <d v="2023-11-27T00:00:00"/>
    <n v="2"/>
    <s v="Same"/>
    <n v="2"/>
    <x v="3"/>
    <x v="3"/>
    <m/>
    <m/>
    <m/>
    <m/>
    <m/>
    <m/>
    <m/>
    <m/>
    <m/>
    <m/>
    <m/>
    <m/>
    <m/>
    <m/>
    <m/>
    <m/>
  </r>
  <r>
    <s v="022"/>
    <x v="10"/>
    <d v="2008-12-15T00:00:00"/>
    <n v="17"/>
    <d v="2024-09-30T00:00:00"/>
    <n v="1"/>
    <x v="0"/>
    <x v="0"/>
    <m/>
    <m/>
    <m/>
    <m/>
    <m/>
    <m/>
    <m/>
    <m/>
    <m/>
    <m/>
    <m/>
    <m/>
    <m/>
    <m/>
    <m/>
    <m/>
  </r>
  <r>
    <s v="023"/>
    <x v="11"/>
    <d v="2022-01-10T00:00:00"/>
    <n v="4"/>
    <d v="2024-09-30T00:00:00"/>
    <n v="1"/>
    <x v="3"/>
    <x v="2"/>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966B3-F289-4D77-B998-7318E6C99B1A}" name="PivotTable2" cacheId="1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F34" firstHeaderRow="1" firstDataRow="2" firstDataCol="1"/>
  <pivotFields count="24">
    <pivotField dataField="1" showAll="0"/>
    <pivotField axis="axisRow" showAll="0">
      <items count="13">
        <item x="2"/>
        <item x="10"/>
        <item x="0"/>
        <item x="5"/>
        <item x="6"/>
        <item x="3"/>
        <item x="4"/>
        <item x="9"/>
        <item x="8"/>
        <item x="7"/>
        <item x="11"/>
        <item x="1"/>
        <item t="default"/>
      </items>
    </pivotField>
    <pivotField showAll="0"/>
    <pivotField showAll="0"/>
    <pivotField showAll="0"/>
    <pivotField showAll="0"/>
    <pivotField showAll="0"/>
    <pivotField axis="axisCol"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7"/>
  </colFields>
  <colItems count="5">
    <i>
      <x/>
    </i>
    <i>
      <x v="1"/>
    </i>
    <i>
      <x v="2"/>
    </i>
    <i>
      <x v="3"/>
    </i>
    <i t="grand">
      <x/>
    </i>
  </colItems>
  <dataFields count="1">
    <dataField name="Count of Employee Name" fld="0" subtotal="count" baseField="0" baseItem="0"/>
  </dataFields>
  <formats count="6">
    <format dxfId="3">
      <pivotArea collapsedLevelsAreSubtotals="1" fieldPosition="0">
        <references count="2">
          <reference field="1" count="1">
            <x v="0"/>
          </reference>
          <reference field="7" count="1" selected="0">
            <x v="2"/>
          </reference>
        </references>
      </pivotArea>
    </format>
    <format dxfId="4">
      <pivotArea collapsedLevelsAreSubtotals="1" fieldPosition="0">
        <references count="2">
          <reference field="1" count="1">
            <x v="1"/>
          </reference>
          <reference field="7" count="1" selected="0">
            <x v="2"/>
          </reference>
        </references>
      </pivotArea>
    </format>
    <format dxfId="5">
      <pivotArea collapsedLevelsAreSubtotals="1" fieldPosition="0">
        <references count="2">
          <reference field="1" count="1">
            <x v="2"/>
          </reference>
          <reference field="7" count="1" selected="0">
            <x v="2"/>
          </reference>
        </references>
      </pivotArea>
    </format>
    <format dxfId="6">
      <pivotArea collapsedLevelsAreSubtotals="1" fieldPosition="0">
        <references count="2">
          <reference field="1" count="1">
            <x v="5"/>
          </reference>
          <reference field="7" count="1" selected="0">
            <x v="2"/>
          </reference>
        </references>
      </pivotArea>
    </format>
    <format dxfId="7">
      <pivotArea collapsedLevelsAreSubtotals="1" fieldPosition="0">
        <references count="2">
          <reference field="1" count="1">
            <x v="3"/>
          </reference>
          <reference field="7" count="1" selected="0">
            <x v="1"/>
          </reference>
        </references>
      </pivotArea>
    </format>
    <format dxfId="8">
      <pivotArea collapsedLevelsAreSubtotals="1" fieldPosition="0">
        <references count="2">
          <reference field="1" count="2">
            <x v="7"/>
            <x v="8"/>
          </reference>
          <reference field="7"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B404C-BBA5-4366-9A07-04E23547451E}" name="PivotTable1" cacheId="1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7" firstHeaderRow="1" firstDataRow="2" firstDataCol="1"/>
  <pivotFields count="24">
    <pivotField dataField="1" showAll="0"/>
    <pivotField axis="axisRow" showAll="0">
      <items count="13">
        <item x="2"/>
        <item x="10"/>
        <item x="0"/>
        <item x="5"/>
        <item x="6"/>
        <item x="3"/>
        <item x="4"/>
        <item x="9"/>
        <item x="8"/>
        <item x="7"/>
        <item x="11"/>
        <item x="1"/>
        <item t="default"/>
      </items>
    </pivotField>
    <pivotField showAll="0"/>
    <pivotField showAll="0"/>
    <pivotField showAll="0"/>
    <pivotField showAll="0"/>
    <pivotField axis="axisCol"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6"/>
  </colFields>
  <colItems count="5">
    <i>
      <x/>
    </i>
    <i>
      <x v="1"/>
    </i>
    <i>
      <x v="2"/>
    </i>
    <i>
      <x v="3"/>
    </i>
    <i t="grand">
      <x/>
    </i>
  </colItems>
  <dataFields count="1">
    <dataField name="Count of Employee Name" fld="0" subtotal="count" baseField="0" baseItem="0"/>
  </dataFields>
  <formats count="3">
    <format dxfId="0">
      <pivotArea collapsedLevelsAreSubtotals="1" fieldPosition="0">
        <references count="2">
          <reference field="1" count="1">
            <x v="3"/>
          </reference>
          <reference field="6" count="1" selected="0">
            <x v="2"/>
          </reference>
        </references>
      </pivotArea>
    </format>
    <format dxfId="1">
      <pivotArea collapsedLevelsAreSubtotals="1" fieldPosition="0">
        <references count="2">
          <reference field="1" count="1">
            <x v="8"/>
          </reference>
          <reference field="6" count="1" selected="0">
            <x v="1"/>
          </reference>
        </references>
      </pivotArea>
    </format>
    <format dxfId="2">
      <pivotArea collapsedLevelsAreSubtotals="1" fieldPosition="0">
        <references count="2">
          <reference field="1" count="1">
            <x v="7"/>
          </reference>
          <reference field="6"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tabSelected="1" workbookViewId="0">
      <pane xSplit="2" topLeftCell="U1" activePane="topRight" state="frozen"/>
      <selection pane="topRight" activeCell="V2" sqref="V2"/>
    </sheetView>
  </sheetViews>
  <sheetFormatPr defaultRowHeight="15" customHeight="1"/>
  <cols>
    <col min="1" max="1" width="19.5703125" customWidth="1"/>
    <col min="2" max="2" width="33.42578125" customWidth="1"/>
    <col min="3" max="3" width="15.7109375" customWidth="1"/>
    <col min="4" max="6" width="25.140625" customWidth="1"/>
    <col min="7" max="7" width="34.85546875" customWidth="1"/>
    <col min="8" max="8" width="33.85546875" bestFit="1" customWidth="1"/>
    <col min="9" max="9" width="34.5703125" bestFit="1" customWidth="1"/>
    <col min="10" max="10" width="28.7109375" customWidth="1"/>
    <col min="11" max="11" width="43.28515625" customWidth="1"/>
    <col min="12" max="12" width="41.85546875" bestFit="1" customWidth="1"/>
    <col min="13" max="13" width="32.140625" customWidth="1"/>
    <col min="14" max="14" width="41.85546875" bestFit="1" customWidth="1"/>
    <col min="15" max="17" width="32.140625" customWidth="1"/>
    <col min="18" max="18" width="56" bestFit="1" customWidth="1"/>
    <col min="19" max="19" width="48.140625" customWidth="1"/>
    <col min="20" max="20" width="46.5703125" bestFit="1" customWidth="1"/>
    <col min="21" max="21" width="34.5703125" bestFit="1" customWidth="1"/>
    <col min="22" max="22" width="59.7109375" bestFit="1" customWidth="1"/>
    <col min="23" max="23" width="48.5703125" bestFit="1" customWidth="1"/>
    <col min="24" max="33" width="34.5703125" customWidth="1"/>
    <col min="34" max="34" width="50.5703125" bestFit="1" customWidth="1"/>
    <col min="35" max="35" width="40.28515625" bestFit="1" customWidth="1"/>
  </cols>
  <sheetData>
    <row r="1" spans="1:35">
      <c r="A1" s="1" t="s">
        <v>0</v>
      </c>
      <c r="B1" s="1" t="s">
        <v>1</v>
      </c>
      <c r="C1" s="1"/>
      <c r="D1" s="1"/>
      <c r="E1" s="1"/>
      <c r="F1" s="1"/>
      <c r="G1" s="1"/>
      <c r="H1" s="1"/>
      <c r="I1" s="1"/>
    </row>
    <row r="2" spans="1:35" s="1" customFormat="1" ht="72.599999999999994" customHeight="1">
      <c r="A2" s="4" t="s">
        <v>2</v>
      </c>
      <c r="B2" s="5" t="s">
        <v>3</v>
      </c>
      <c r="C2" s="44" t="s">
        <v>4</v>
      </c>
      <c r="D2" s="5" t="s">
        <v>5</v>
      </c>
      <c r="E2" s="69" t="s">
        <v>6</v>
      </c>
      <c r="F2" s="4" t="s">
        <v>7</v>
      </c>
      <c r="G2" s="4" t="s">
        <v>8</v>
      </c>
      <c r="H2" s="4" t="s">
        <v>9</v>
      </c>
      <c r="I2" s="4" t="s">
        <v>10</v>
      </c>
      <c r="J2" s="6" t="s">
        <v>11</v>
      </c>
      <c r="K2" s="6" t="s">
        <v>12</v>
      </c>
      <c r="L2" s="7" t="s">
        <v>13</v>
      </c>
      <c r="M2" s="7" t="s">
        <v>14</v>
      </c>
      <c r="N2" s="7" t="s">
        <v>15</v>
      </c>
      <c r="O2" s="7" t="s">
        <v>16</v>
      </c>
      <c r="P2" s="70" t="s">
        <v>17</v>
      </c>
      <c r="Q2" s="4" t="s">
        <v>18</v>
      </c>
      <c r="R2" s="4" t="s">
        <v>19</v>
      </c>
      <c r="S2" s="69" t="s">
        <v>20</v>
      </c>
      <c r="T2" s="69" t="s">
        <v>21</v>
      </c>
      <c r="U2" s="69" t="s">
        <v>22</v>
      </c>
      <c r="V2" s="69" t="s">
        <v>23</v>
      </c>
      <c r="W2" s="4" t="s">
        <v>24</v>
      </c>
      <c r="X2" s="4" t="s">
        <v>25</v>
      </c>
      <c r="Y2" s="4" t="s">
        <v>26</v>
      </c>
      <c r="Z2" s="41"/>
      <c r="AA2" s="36" t="s">
        <v>27</v>
      </c>
      <c r="AB2" s="37" t="s">
        <v>28</v>
      </c>
      <c r="AC2" s="38" t="s">
        <v>29</v>
      </c>
      <c r="AD2" s="39" t="s">
        <v>30</v>
      </c>
      <c r="AE2" s="39" t="s">
        <v>31</v>
      </c>
      <c r="AF2" s="4" t="s">
        <v>32</v>
      </c>
      <c r="AG2" s="4" t="s">
        <v>33</v>
      </c>
      <c r="AH2" s="40" t="s">
        <v>34</v>
      </c>
      <c r="AI2" s="61" t="s">
        <v>35</v>
      </c>
    </row>
    <row r="3" spans="1:35">
      <c r="A3" s="31" t="s">
        <v>36</v>
      </c>
      <c r="B3" s="43" t="s">
        <v>37</v>
      </c>
      <c r="C3" s="56">
        <v>1</v>
      </c>
      <c r="D3" s="57">
        <v>43045</v>
      </c>
      <c r="E3" s="58">
        <f>ROUND(YEARFRAC(D3,DATE(2026,3,7)),0)</f>
        <v>8</v>
      </c>
      <c r="F3" s="59" t="s">
        <v>38</v>
      </c>
      <c r="G3" s="58">
        <f>ROUND(YEARFRAC(D3,DATE(2026,3,7)),0)</f>
        <v>8</v>
      </c>
      <c r="H3" s="59" t="s">
        <v>39</v>
      </c>
      <c r="I3" s="59" t="s">
        <v>39</v>
      </c>
      <c r="J3" s="10" t="s">
        <v>40</v>
      </c>
      <c r="K3" s="8"/>
      <c r="L3" s="8"/>
      <c r="M3" s="8"/>
      <c r="N3" s="8"/>
      <c r="O3" s="8"/>
      <c r="P3" s="33" t="s">
        <v>41</v>
      </c>
      <c r="Q3" s="8"/>
      <c r="R3" s="64" t="s">
        <v>41</v>
      </c>
      <c r="S3" s="8"/>
      <c r="T3" s="64" t="s">
        <v>41</v>
      </c>
      <c r="U3" s="33" t="s">
        <v>41</v>
      </c>
      <c r="V3" s="33" t="s">
        <v>41</v>
      </c>
      <c r="W3" s="8"/>
      <c r="X3" s="8"/>
      <c r="Y3" s="8"/>
      <c r="Z3" s="42"/>
      <c r="AA3" s="63" t="s">
        <v>42</v>
      </c>
      <c r="AB3" s="63"/>
      <c r="AC3" s="63" t="s">
        <v>43</v>
      </c>
      <c r="AD3" s="63" t="s">
        <v>44</v>
      </c>
      <c r="AE3" s="63"/>
      <c r="AF3" s="63" t="s">
        <v>45</v>
      </c>
      <c r="AG3" s="63" t="s">
        <v>46</v>
      </c>
      <c r="AH3" s="63" t="s">
        <v>47</v>
      </c>
      <c r="AI3" s="63"/>
    </row>
    <row r="4" spans="1:35" s="47" customFormat="1">
      <c r="A4" s="45" t="s">
        <v>48</v>
      </c>
      <c r="B4" s="46"/>
      <c r="D4" s="48"/>
      <c r="E4" s="49"/>
      <c r="F4" s="49"/>
      <c r="G4" s="49"/>
      <c r="H4" s="53"/>
      <c r="I4" s="66"/>
      <c r="J4" s="42"/>
      <c r="K4" s="42"/>
      <c r="L4" s="42" t="s">
        <v>49</v>
      </c>
      <c r="M4" s="42" t="s">
        <v>50</v>
      </c>
      <c r="N4" s="42" t="s">
        <v>49</v>
      </c>
      <c r="O4" s="42"/>
      <c r="P4" s="50" t="s">
        <v>41</v>
      </c>
      <c r="Q4" s="42"/>
      <c r="R4" s="65" t="s">
        <v>41</v>
      </c>
      <c r="S4" s="42"/>
      <c r="T4" s="65" t="s">
        <v>41</v>
      </c>
      <c r="U4" s="50" t="s">
        <v>41</v>
      </c>
      <c r="V4" s="50" t="s">
        <v>41</v>
      </c>
      <c r="W4" s="42"/>
      <c r="X4" s="42"/>
      <c r="Y4" s="42"/>
      <c r="Z4" s="42"/>
      <c r="AA4" s="42"/>
      <c r="AB4" s="42"/>
      <c r="AC4" s="42"/>
      <c r="AD4" s="54"/>
      <c r="AE4" s="51"/>
      <c r="AF4" s="52"/>
      <c r="AG4" s="55"/>
      <c r="AH4" s="62"/>
      <c r="AI4" s="52"/>
    </row>
    <row r="5" spans="1:35">
      <c r="A5" s="31" t="s">
        <v>51</v>
      </c>
      <c r="B5" s="43" t="s">
        <v>52</v>
      </c>
      <c r="C5" s="56">
        <v>2</v>
      </c>
      <c r="D5" s="57">
        <v>44669</v>
      </c>
      <c r="E5" s="58">
        <f t="shared" ref="E5:E26" si="0">ROUND(YEARFRAC(D5,DATE(2026,3,7)),0)</f>
        <v>4</v>
      </c>
      <c r="F5" s="59" t="s">
        <v>53</v>
      </c>
      <c r="G5" s="60">
        <f>ROUND(YEARFRAC(D5,DATE(2026,3,7)),0)</f>
        <v>4</v>
      </c>
      <c r="H5" s="59" t="s">
        <v>39</v>
      </c>
      <c r="I5" s="59" t="s">
        <v>39</v>
      </c>
      <c r="J5" s="10"/>
      <c r="K5" s="8"/>
      <c r="L5" s="8"/>
      <c r="M5" s="8"/>
      <c r="N5" s="8"/>
      <c r="O5" s="8"/>
      <c r="P5" s="34" t="s">
        <v>54</v>
      </c>
      <c r="Q5" s="8"/>
      <c r="R5" s="63" t="s">
        <v>55</v>
      </c>
      <c r="S5" s="63" t="s">
        <v>56</v>
      </c>
      <c r="T5" s="63" t="s">
        <v>41</v>
      </c>
      <c r="U5" s="59" t="s">
        <v>41</v>
      </c>
      <c r="V5" s="3" t="s">
        <v>41</v>
      </c>
      <c r="W5" s="3"/>
      <c r="X5" s="3"/>
      <c r="Y5" s="3"/>
      <c r="Z5" s="49"/>
      <c r="AA5" s="63" t="s">
        <v>57</v>
      </c>
      <c r="AB5" s="63"/>
      <c r="AC5" s="63" t="s">
        <v>58</v>
      </c>
      <c r="AD5" s="63" t="s">
        <v>59</v>
      </c>
      <c r="AE5" s="63" t="s">
        <v>60</v>
      </c>
      <c r="AF5" s="63" t="s">
        <v>45</v>
      </c>
      <c r="AG5" s="63" t="s">
        <v>37</v>
      </c>
      <c r="AH5" s="63" t="s">
        <v>61</v>
      </c>
      <c r="AI5" s="63"/>
    </row>
    <row r="6" spans="1:35">
      <c r="A6" s="32" t="s">
        <v>61</v>
      </c>
      <c r="B6" s="43" t="s">
        <v>62</v>
      </c>
      <c r="C6" s="56">
        <v>3</v>
      </c>
      <c r="D6" s="57">
        <v>39363</v>
      </c>
      <c r="E6" s="58">
        <f t="shared" si="0"/>
        <v>18</v>
      </c>
      <c r="F6" s="59">
        <v>44837</v>
      </c>
      <c r="G6" s="60">
        <f>ROUND(YEARFRAC(F6,DATE(2026,3,7)),0)</f>
        <v>3</v>
      </c>
      <c r="H6" s="59" t="s">
        <v>39</v>
      </c>
      <c r="I6" s="59" t="s">
        <v>39</v>
      </c>
      <c r="J6" s="10" t="s">
        <v>63</v>
      </c>
      <c r="K6" s="8"/>
      <c r="L6" s="8"/>
      <c r="N6" s="8"/>
      <c r="O6" s="8"/>
      <c r="P6" s="34" t="s">
        <v>50</v>
      </c>
      <c r="Q6" s="8"/>
      <c r="R6" s="63" t="s">
        <v>41</v>
      </c>
      <c r="S6" s="63" t="s">
        <v>64</v>
      </c>
      <c r="T6" s="63" t="s">
        <v>65</v>
      </c>
      <c r="U6" s="59" t="s">
        <v>39</v>
      </c>
      <c r="V6" s="3" t="s">
        <v>66</v>
      </c>
      <c r="W6" s="3"/>
      <c r="X6" s="3"/>
      <c r="Y6" s="3"/>
      <c r="Z6" s="49"/>
      <c r="AA6" s="63" t="s">
        <v>67</v>
      </c>
      <c r="AB6" s="63"/>
      <c r="AC6" s="63" t="s">
        <v>68</v>
      </c>
      <c r="AD6" s="63" t="s">
        <v>69</v>
      </c>
      <c r="AE6" s="63" t="s">
        <v>70</v>
      </c>
      <c r="AF6" s="63" t="s">
        <v>71</v>
      </c>
      <c r="AG6" s="63" t="s">
        <v>52</v>
      </c>
      <c r="AH6" s="32" t="s">
        <v>72</v>
      </c>
      <c r="AI6" s="63"/>
    </row>
    <row r="7" spans="1:35">
      <c r="A7" s="32" t="s">
        <v>72</v>
      </c>
      <c r="B7" s="43" t="s">
        <v>73</v>
      </c>
      <c r="C7" s="56">
        <v>4</v>
      </c>
      <c r="D7" s="57">
        <v>41134</v>
      </c>
      <c r="E7" s="58">
        <f t="shared" si="0"/>
        <v>14</v>
      </c>
      <c r="F7" s="59">
        <v>44851</v>
      </c>
      <c r="G7" s="60">
        <f>ROUND(YEARFRAC(F7,DATE(2026,3,7)),0)</f>
        <v>3</v>
      </c>
      <c r="H7" s="59" t="s">
        <v>39</v>
      </c>
      <c r="I7" s="59" t="s">
        <v>74</v>
      </c>
      <c r="J7" s="10" t="s">
        <v>75</v>
      </c>
      <c r="K7" s="8"/>
      <c r="L7" s="9"/>
      <c r="M7" s="9"/>
      <c r="N7" s="9"/>
      <c r="O7" s="9"/>
      <c r="P7" s="35" t="s">
        <v>50</v>
      </c>
      <c r="Q7" s="9"/>
      <c r="R7" s="63" t="s">
        <v>41</v>
      </c>
      <c r="S7" s="63" t="s">
        <v>76</v>
      </c>
      <c r="T7" s="63" t="s">
        <v>77</v>
      </c>
      <c r="U7" s="59" t="s">
        <v>39</v>
      </c>
      <c r="V7" s="3" t="s">
        <v>66</v>
      </c>
      <c r="W7" s="3"/>
      <c r="X7" s="3"/>
      <c r="Y7" s="3"/>
      <c r="Z7" s="49"/>
      <c r="AA7" s="63" t="s">
        <v>78</v>
      </c>
      <c r="AB7" s="63"/>
      <c r="AC7" s="63" t="s">
        <v>68</v>
      </c>
      <c r="AD7" s="63" t="s">
        <v>79</v>
      </c>
      <c r="AE7" s="63" t="s">
        <v>80</v>
      </c>
      <c r="AF7" s="63" t="s">
        <v>81</v>
      </c>
      <c r="AG7" s="63" t="s">
        <v>62</v>
      </c>
      <c r="AH7" s="63" t="s">
        <v>82</v>
      </c>
      <c r="AI7" s="63"/>
    </row>
    <row r="8" spans="1:35">
      <c r="A8" s="67" t="s">
        <v>83</v>
      </c>
      <c r="B8" s="43" t="s">
        <v>84</v>
      </c>
      <c r="C8" s="56">
        <v>5</v>
      </c>
      <c r="D8" s="57">
        <v>43059</v>
      </c>
      <c r="E8" s="58">
        <f t="shared" si="0"/>
        <v>8</v>
      </c>
      <c r="F8" s="59">
        <v>44165</v>
      </c>
      <c r="G8" s="60">
        <f>ROUND(YEARFRAC(F8,DATE(2026,3,7)),0)</f>
        <v>5</v>
      </c>
      <c r="H8" s="59" t="s">
        <v>39</v>
      </c>
      <c r="I8" s="59" t="s">
        <v>74</v>
      </c>
      <c r="J8" s="10"/>
      <c r="K8" s="8"/>
      <c r="L8" s="8"/>
      <c r="M8" s="8"/>
      <c r="N8" s="8"/>
      <c r="O8" s="8"/>
      <c r="P8" s="34" t="s">
        <v>50</v>
      </c>
      <c r="Q8" s="8"/>
      <c r="R8" s="63" t="s">
        <v>85</v>
      </c>
      <c r="S8" s="63" t="s">
        <v>86</v>
      </c>
      <c r="T8" s="63" t="s">
        <v>87</v>
      </c>
      <c r="U8" s="59" t="s">
        <v>39</v>
      </c>
      <c r="V8" s="3" t="s">
        <v>66</v>
      </c>
      <c r="W8" s="3"/>
      <c r="X8" s="3"/>
      <c r="Y8" s="3"/>
      <c r="Z8" s="49"/>
      <c r="AA8" s="63" t="s">
        <v>88</v>
      </c>
      <c r="AB8" s="63"/>
      <c r="AC8" s="63"/>
      <c r="AD8" s="63" t="s">
        <v>89</v>
      </c>
      <c r="AE8" s="63" t="s">
        <v>90</v>
      </c>
      <c r="AF8" s="63" t="s">
        <v>91</v>
      </c>
      <c r="AG8" s="63" t="s">
        <v>73</v>
      </c>
      <c r="AH8" s="63"/>
      <c r="AI8" s="63"/>
    </row>
    <row r="9" spans="1:35">
      <c r="A9" s="32" t="s">
        <v>92</v>
      </c>
      <c r="B9" s="43" t="s">
        <v>84</v>
      </c>
      <c r="C9" s="56">
        <v>6</v>
      </c>
      <c r="D9" s="57">
        <v>42177</v>
      </c>
      <c r="E9" s="58">
        <f t="shared" si="0"/>
        <v>11</v>
      </c>
      <c r="F9" s="59">
        <v>45257</v>
      </c>
      <c r="G9" s="60">
        <f>ROUND(YEARFRAC(F9,DATE(2026,3,7)),0)</f>
        <v>2</v>
      </c>
      <c r="H9" s="59" t="s">
        <v>39</v>
      </c>
      <c r="I9" s="59" t="s">
        <v>74</v>
      </c>
      <c r="J9" s="10"/>
      <c r="K9" s="8"/>
      <c r="L9" s="8"/>
      <c r="M9" s="8"/>
      <c r="N9" s="8"/>
      <c r="O9" s="8"/>
      <c r="P9" s="34" t="s">
        <v>50</v>
      </c>
      <c r="Q9" s="8"/>
      <c r="R9" s="63" t="s">
        <v>93</v>
      </c>
      <c r="S9" s="63" t="s">
        <v>86</v>
      </c>
      <c r="T9" s="63" t="s">
        <v>94</v>
      </c>
      <c r="U9" s="59" t="s">
        <v>39</v>
      </c>
      <c r="V9" s="3" t="s">
        <v>66</v>
      </c>
      <c r="W9" s="3"/>
      <c r="X9" s="3"/>
      <c r="Y9" s="3"/>
      <c r="Z9" s="49"/>
      <c r="AA9" s="63" t="s">
        <v>88</v>
      </c>
      <c r="AB9" s="63"/>
      <c r="AC9" s="63"/>
      <c r="AD9" s="63" t="s">
        <v>89</v>
      </c>
      <c r="AE9" s="63" t="s">
        <v>90</v>
      </c>
      <c r="AF9" s="63" t="s">
        <v>91</v>
      </c>
      <c r="AG9" s="63" t="s">
        <v>73</v>
      </c>
      <c r="AH9" s="63"/>
      <c r="AI9" s="63"/>
    </row>
    <row r="10" spans="1:35">
      <c r="A10" s="32" t="s">
        <v>95</v>
      </c>
      <c r="B10" s="43" t="s">
        <v>84</v>
      </c>
      <c r="C10" s="56">
        <v>7</v>
      </c>
      <c r="D10" s="57">
        <v>37063</v>
      </c>
      <c r="E10" s="58">
        <f t="shared" si="0"/>
        <v>25</v>
      </c>
      <c r="F10" s="59" t="s">
        <v>53</v>
      </c>
      <c r="G10" s="60">
        <f>ROUND(YEARFRAC(D10,DATE(2026,3,7)),0)</f>
        <v>25</v>
      </c>
      <c r="H10" s="59" t="s">
        <v>39</v>
      </c>
      <c r="I10" s="59" t="s">
        <v>74</v>
      </c>
      <c r="J10" s="10" t="s">
        <v>40</v>
      </c>
      <c r="K10" s="8"/>
      <c r="L10" s="8"/>
      <c r="M10" s="8"/>
      <c r="N10" s="8"/>
      <c r="O10" s="8"/>
      <c r="P10" s="34" t="s">
        <v>50</v>
      </c>
      <c r="Q10" s="8"/>
      <c r="R10" s="63" t="s">
        <v>96</v>
      </c>
      <c r="S10" s="63" t="s">
        <v>97</v>
      </c>
      <c r="T10" s="63" t="s">
        <v>94</v>
      </c>
      <c r="U10" s="59" t="s">
        <v>39</v>
      </c>
      <c r="V10" s="3" t="s">
        <v>66</v>
      </c>
      <c r="W10" s="3"/>
      <c r="X10" s="3"/>
      <c r="Y10" s="3"/>
      <c r="Z10" s="49"/>
      <c r="AA10" s="63" t="s">
        <v>88</v>
      </c>
      <c r="AB10" s="63"/>
      <c r="AC10" s="63"/>
      <c r="AD10" s="63" t="s">
        <v>89</v>
      </c>
      <c r="AE10" s="63" t="s">
        <v>90</v>
      </c>
      <c r="AF10" s="63" t="s">
        <v>91</v>
      </c>
      <c r="AG10" s="63" t="s">
        <v>73</v>
      </c>
      <c r="AH10" s="63"/>
      <c r="AI10" s="63"/>
    </row>
    <row r="11" spans="1:35">
      <c r="A11" s="32" t="s">
        <v>98</v>
      </c>
      <c r="B11" s="43" t="s">
        <v>84</v>
      </c>
      <c r="C11" s="56">
        <v>8</v>
      </c>
      <c r="D11" s="57">
        <v>42401</v>
      </c>
      <c r="E11" s="58">
        <f t="shared" si="0"/>
        <v>10</v>
      </c>
      <c r="F11" s="59">
        <v>44249</v>
      </c>
      <c r="G11" s="60">
        <f t="shared" ref="G11:G20" si="1">ROUND(YEARFRAC(F11,DATE(2026,3,7)),0)</f>
        <v>5</v>
      </c>
      <c r="H11" s="59" t="s">
        <v>39</v>
      </c>
      <c r="I11" s="59" t="s">
        <v>74</v>
      </c>
      <c r="J11" s="10"/>
      <c r="K11" s="8"/>
      <c r="L11" s="8"/>
      <c r="M11" s="8"/>
      <c r="N11" s="8"/>
      <c r="O11" s="8"/>
      <c r="P11" s="34" t="s">
        <v>50</v>
      </c>
      <c r="Q11" s="8"/>
      <c r="R11" s="63" t="s">
        <v>99</v>
      </c>
      <c r="S11" s="63" t="s">
        <v>86</v>
      </c>
      <c r="T11" s="63" t="s">
        <v>100</v>
      </c>
      <c r="U11" s="59" t="s">
        <v>39</v>
      </c>
      <c r="V11" s="3" t="s">
        <v>66</v>
      </c>
      <c r="W11" s="3"/>
      <c r="X11" s="3"/>
      <c r="Y11" s="3"/>
      <c r="Z11" s="49"/>
      <c r="AA11" s="63" t="s">
        <v>88</v>
      </c>
      <c r="AB11" s="63"/>
      <c r="AC11" s="63"/>
      <c r="AD11" s="63" t="s">
        <v>89</v>
      </c>
      <c r="AE11" s="63" t="s">
        <v>90</v>
      </c>
      <c r="AF11" s="63" t="s">
        <v>91</v>
      </c>
      <c r="AG11" s="63" t="s">
        <v>73</v>
      </c>
      <c r="AH11" s="63"/>
      <c r="AI11" s="63"/>
    </row>
    <row r="12" spans="1:35">
      <c r="A12" s="67" t="s">
        <v>101</v>
      </c>
      <c r="B12" s="43" t="s">
        <v>84</v>
      </c>
      <c r="C12" s="56">
        <v>9</v>
      </c>
      <c r="D12" s="57">
        <v>44215</v>
      </c>
      <c r="E12" s="58">
        <f t="shared" si="0"/>
        <v>5</v>
      </c>
      <c r="F12" s="59">
        <v>44875</v>
      </c>
      <c r="G12" s="60">
        <f t="shared" si="1"/>
        <v>3</v>
      </c>
      <c r="H12" s="59" t="s">
        <v>74</v>
      </c>
      <c r="I12" s="59" t="s">
        <v>74</v>
      </c>
      <c r="J12" s="10"/>
      <c r="K12" s="8"/>
      <c r="L12" s="8"/>
      <c r="M12" s="8"/>
      <c r="N12" s="8"/>
      <c r="O12" s="8"/>
      <c r="P12" s="34" t="s">
        <v>50</v>
      </c>
      <c r="Q12" s="8"/>
      <c r="R12" s="63" t="s">
        <v>102</v>
      </c>
      <c r="S12" s="63" t="s">
        <v>103</v>
      </c>
      <c r="T12" s="63" t="s">
        <v>100</v>
      </c>
      <c r="U12" s="59" t="s">
        <v>39</v>
      </c>
      <c r="V12" s="3" t="s">
        <v>66</v>
      </c>
      <c r="W12" s="3"/>
      <c r="X12" s="3"/>
      <c r="Y12" s="3"/>
      <c r="Z12" s="49"/>
      <c r="AA12" s="63" t="s">
        <v>88</v>
      </c>
      <c r="AB12" s="63"/>
      <c r="AC12" s="63"/>
      <c r="AD12" s="63" t="s">
        <v>89</v>
      </c>
      <c r="AE12" s="63" t="s">
        <v>90</v>
      </c>
      <c r="AF12" s="63" t="s">
        <v>91</v>
      </c>
      <c r="AG12" s="63" t="s">
        <v>73</v>
      </c>
      <c r="AH12" s="63"/>
      <c r="AI12" s="63"/>
    </row>
    <row r="13" spans="1:35">
      <c r="A13" s="32" t="s">
        <v>104</v>
      </c>
      <c r="B13" s="68" t="s">
        <v>105</v>
      </c>
      <c r="C13" s="56">
        <v>10</v>
      </c>
      <c r="D13" s="57">
        <v>42926</v>
      </c>
      <c r="E13" s="58">
        <f t="shared" si="0"/>
        <v>9</v>
      </c>
      <c r="F13" s="59">
        <v>44753</v>
      </c>
      <c r="G13" s="60">
        <f t="shared" si="1"/>
        <v>4</v>
      </c>
      <c r="H13" s="59" t="s">
        <v>39</v>
      </c>
      <c r="I13" s="59" t="s">
        <v>106</v>
      </c>
      <c r="J13" s="10"/>
      <c r="K13" s="8"/>
      <c r="L13" s="8"/>
      <c r="M13" s="8"/>
      <c r="N13" s="8"/>
      <c r="O13" s="8"/>
      <c r="P13" s="34" t="s">
        <v>50</v>
      </c>
      <c r="Q13" s="8"/>
      <c r="R13" s="63" t="s">
        <v>107</v>
      </c>
      <c r="S13" s="63" t="s">
        <v>86</v>
      </c>
      <c r="T13" s="63" t="s">
        <v>108</v>
      </c>
      <c r="U13" s="59" t="s">
        <v>39</v>
      </c>
      <c r="V13" s="3" t="s">
        <v>66</v>
      </c>
      <c r="W13" s="3"/>
      <c r="X13" s="3"/>
      <c r="Y13" s="3"/>
      <c r="Z13" s="49"/>
      <c r="AA13" s="63"/>
      <c r="AB13" s="63"/>
      <c r="AC13" s="63"/>
      <c r="AD13" s="63" t="s">
        <v>109</v>
      </c>
      <c r="AE13" s="63"/>
      <c r="AF13" s="63" t="s">
        <v>110</v>
      </c>
      <c r="AG13" s="63" t="s">
        <v>111</v>
      </c>
      <c r="AH13" s="63"/>
      <c r="AI13" s="63"/>
    </row>
    <row r="14" spans="1:35">
      <c r="A14" s="32" t="s">
        <v>112</v>
      </c>
      <c r="B14" s="43" t="s">
        <v>113</v>
      </c>
      <c r="C14" s="56">
        <v>11</v>
      </c>
      <c r="D14" s="57">
        <v>43143</v>
      </c>
      <c r="E14" s="58">
        <f t="shared" si="0"/>
        <v>8</v>
      </c>
      <c r="F14" s="59">
        <v>44511</v>
      </c>
      <c r="G14" s="60">
        <f t="shared" si="1"/>
        <v>4</v>
      </c>
      <c r="H14" s="59" t="s">
        <v>39</v>
      </c>
      <c r="I14" s="59" t="s">
        <v>106</v>
      </c>
      <c r="J14" s="10"/>
      <c r="K14" s="8"/>
      <c r="L14" s="8"/>
      <c r="M14" s="8"/>
      <c r="N14" s="8"/>
      <c r="O14" s="8"/>
      <c r="P14" s="34" t="s">
        <v>54</v>
      </c>
      <c r="Q14" s="8"/>
      <c r="R14" s="63" t="s">
        <v>114</v>
      </c>
      <c r="S14" s="63" t="s">
        <v>115</v>
      </c>
      <c r="T14" s="63" t="s">
        <v>116</v>
      </c>
      <c r="U14" s="59" t="s">
        <v>106</v>
      </c>
      <c r="V14" s="3" t="s">
        <v>66</v>
      </c>
      <c r="W14" s="3"/>
      <c r="X14" s="3"/>
      <c r="Y14" s="3"/>
      <c r="Z14" s="49"/>
      <c r="AA14" s="63"/>
      <c r="AB14" s="63"/>
      <c r="AC14" s="63"/>
      <c r="AD14" s="63" t="s">
        <v>117</v>
      </c>
      <c r="AE14" s="63"/>
      <c r="AF14" s="63" t="s">
        <v>91</v>
      </c>
      <c r="AG14" s="63" t="s">
        <v>111</v>
      </c>
      <c r="AH14" s="63"/>
      <c r="AI14" s="63"/>
    </row>
    <row r="15" spans="1:35">
      <c r="A15" s="32" t="s">
        <v>118</v>
      </c>
      <c r="B15" s="43" t="s">
        <v>119</v>
      </c>
      <c r="C15" s="56">
        <v>12</v>
      </c>
      <c r="D15" s="57">
        <v>43283</v>
      </c>
      <c r="E15" s="58">
        <f t="shared" si="0"/>
        <v>8</v>
      </c>
      <c r="F15" s="59">
        <v>45047</v>
      </c>
      <c r="G15" s="60">
        <f t="shared" si="1"/>
        <v>3</v>
      </c>
      <c r="H15" s="59" t="s">
        <v>74</v>
      </c>
      <c r="I15" s="59" t="s">
        <v>106</v>
      </c>
      <c r="J15" s="10"/>
      <c r="K15" s="8"/>
      <c r="L15" s="8"/>
      <c r="M15" s="8"/>
      <c r="N15" s="8"/>
      <c r="O15" s="8"/>
      <c r="P15" s="34" t="s">
        <v>54</v>
      </c>
      <c r="Q15" s="8"/>
      <c r="R15" s="63" t="s">
        <v>120</v>
      </c>
      <c r="S15" s="63" t="s">
        <v>115</v>
      </c>
      <c r="T15" s="63" t="s">
        <v>116</v>
      </c>
      <c r="U15" s="59" t="s">
        <v>106</v>
      </c>
      <c r="V15" s="3" t="s">
        <v>66</v>
      </c>
      <c r="W15" s="3"/>
      <c r="X15" s="3"/>
      <c r="Y15" s="3"/>
      <c r="Z15" s="49"/>
      <c r="AA15" s="63" t="s">
        <v>121</v>
      </c>
      <c r="AB15" s="63"/>
      <c r="AC15" s="63"/>
      <c r="AD15" s="63" t="s">
        <v>122</v>
      </c>
      <c r="AE15" s="63" t="s">
        <v>123</v>
      </c>
      <c r="AF15" s="63" t="s">
        <v>91</v>
      </c>
      <c r="AG15" s="63" t="s">
        <v>84</v>
      </c>
      <c r="AH15" s="63"/>
      <c r="AI15" s="63"/>
    </row>
    <row r="16" spans="1:35">
      <c r="A16" s="67" t="s">
        <v>124</v>
      </c>
      <c r="B16" s="43" t="s">
        <v>119</v>
      </c>
      <c r="C16" s="56">
        <v>13</v>
      </c>
      <c r="D16" s="57">
        <v>44312</v>
      </c>
      <c r="E16" s="58">
        <f t="shared" si="0"/>
        <v>5</v>
      </c>
      <c r="F16" s="59">
        <v>45033</v>
      </c>
      <c r="G16" s="60">
        <f t="shared" si="1"/>
        <v>3</v>
      </c>
      <c r="H16" s="59" t="s">
        <v>74</v>
      </c>
      <c r="I16" s="59" t="s">
        <v>106</v>
      </c>
      <c r="J16" s="10"/>
      <c r="K16" s="8"/>
      <c r="L16" s="8"/>
      <c r="M16" s="8"/>
      <c r="N16" s="8"/>
      <c r="O16" s="8"/>
      <c r="P16" s="34" t="s">
        <v>54</v>
      </c>
      <c r="Q16" s="8"/>
      <c r="R16" s="63" t="s">
        <v>125</v>
      </c>
      <c r="S16" s="63" t="s">
        <v>115</v>
      </c>
      <c r="T16" s="63" t="s">
        <v>116</v>
      </c>
      <c r="U16" s="59" t="s">
        <v>106</v>
      </c>
      <c r="V16" s="3" t="s">
        <v>66</v>
      </c>
      <c r="W16" s="3"/>
      <c r="X16" s="3"/>
      <c r="Y16" s="3"/>
      <c r="Z16" s="49"/>
      <c r="AA16" s="63" t="s">
        <v>121</v>
      </c>
      <c r="AB16" s="63"/>
      <c r="AC16" s="63"/>
      <c r="AD16" s="63" t="s">
        <v>122</v>
      </c>
      <c r="AE16" s="63" t="s">
        <v>123</v>
      </c>
      <c r="AF16" s="63" t="s">
        <v>91</v>
      </c>
      <c r="AG16" s="63" t="s">
        <v>84</v>
      </c>
      <c r="AH16" s="63"/>
      <c r="AI16" s="63"/>
    </row>
    <row r="17" spans="1:35">
      <c r="A17" s="32" t="s">
        <v>126</v>
      </c>
      <c r="B17" s="43" t="s">
        <v>119</v>
      </c>
      <c r="C17" s="56">
        <v>14</v>
      </c>
      <c r="D17" s="57">
        <v>45047</v>
      </c>
      <c r="E17" s="58">
        <f t="shared" si="0"/>
        <v>3</v>
      </c>
      <c r="F17" s="59">
        <v>45201</v>
      </c>
      <c r="G17" s="60">
        <f t="shared" si="1"/>
        <v>2</v>
      </c>
      <c r="H17" s="59" t="s">
        <v>106</v>
      </c>
      <c r="I17" s="59" t="s">
        <v>106</v>
      </c>
      <c r="J17" s="10"/>
      <c r="K17" s="8"/>
      <c r="L17" s="8"/>
      <c r="M17" s="8"/>
      <c r="N17" s="8"/>
      <c r="O17" s="8"/>
      <c r="P17" s="34" t="s">
        <v>54</v>
      </c>
      <c r="Q17" s="8"/>
      <c r="R17" s="63" t="s">
        <v>120</v>
      </c>
      <c r="S17" s="63" t="s">
        <v>115</v>
      </c>
      <c r="T17" s="63" t="s">
        <v>116</v>
      </c>
      <c r="U17" s="59" t="s">
        <v>106</v>
      </c>
      <c r="V17" s="3" t="s">
        <v>66</v>
      </c>
      <c r="W17" s="3"/>
      <c r="X17" s="3"/>
      <c r="Y17" s="3"/>
      <c r="Z17" s="49"/>
      <c r="AA17" s="63" t="s">
        <v>121</v>
      </c>
      <c r="AB17" s="63"/>
      <c r="AC17" s="63"/>
      <c r="AD17" s="63" t="s">
        <v>122</v>
      </c>
      <c r="AE17" s="63" t="s">
        <v>123</v>
      </c>
      <c r="AF17" s="63" t="s">
        <v>91</v>
      </c>
      <c r="AG17" s="63" t="s">
        <v>84</v>
      </c>
      <c r="AH17" s="63"/>
      <c r="AI17" s="63"/>
    </row>
    <row r="18" spans="1:35">
      <c r="A18" s="32" t="s">
        <v>127</v>
      </c>
      <c r="B18" s="43" t="s">
        <v>119</v>
      </c>
      <c r="C18" s="56">
        <v>15</v>
      </c>
      <c r="D18" s="57">
        <v>38596</v>
      </c>
      <c r="E18" s="58">
        <f t="shared" si="0"/>
        <v>21</v>
      </c>
      <c r="F18" s="59">
        <v>38596</v>
      </c>
      <c r="G18" s="60">
        <f t="shared" si="1"/>
        <v>21</v>
      </c>
      <c r="H18" s="59" t="s">
        <v>39</v>
      </c>
      <c r="I18" s="59" t="s">
        <v>106</v>
      </c>
      <c r="J18" s="10" t="s">
        <v>40</v>
      </c>
      <c r="K18" s="8"/>
      <c r="L18" s="8"/>
      <c r="M18" s="8"/>
      <c r="N18" s="8"/>
      <c r="O18" s="8"/>
      <c r="P18" s="34" t="s">
        <v>54</v>
      </c>
      <c r="Q18" s="8"/>
      <c r="R18" s="63" t="s">
        <v>120</v>
      </c>
      <c r="S18" s="63" t="s">
        <v>115</v>
      </c>
      <c r="T18" s="63" t="s">
        <v>116</v>
      </c>
      <c r="U18" s="59" t="s">
        <v>106</v>
      </c>
      <c r="V18" s="3" t="s">
        <v>66</v>
      </c>
      <c r="W18" s="3"/>
      <c r="X18" s="3"/>
      <c r="Y18" s="3"/>
      <c r="Z18" s="49"/>
      <c r="AA18" s="63" t="s">
        <v>121</v>
      </c>
      <c r="AB18" s="63"/>
      <c r="AC18" s="63"/>
      <c r="AD18" s="63" t="s">
        <v>122</v>
      </c>
      <c r="AE18" s="63" t="s">
        <v>123</v>
      </c>
      <c r="AF18" s="63" t="s">
        <v>91</v>
      </c>
      <c r="AG18" s="63" t="s">
        <v>84</v>
      </c>
      <c r="AH18" s="63"/>
      <c r="AI18" s="63"/>
    </row>
    <row r="19" spans="1:35">
      <c r="A19" s="32" t="s">
        <v>128</v>
      </c>
      <c r="B19" s="43" t="s">
        <v>119</v>
      </c>
      <c r="C19" s="56">
        <v>16</v>
      </c>
      <c r="D19" s="57">
        <v>43430</v>
      </c>
      <c r="E19" s="58">
        <f t="shared" si="0"/>
        <v>7</v>
      </c>
      <c r="F19" s="59">
        <v>45117</v>
      </c>
      <c r="G19" s="60">
        <f t="shared" si="1"/>
        <v>3</v>
      </c>
      <c r="H19" s="59" t="s">
        <v>74</v>
      </c>
      <c r="I19" s="59" t="s">
        <v>106</v>
      </c>
      <c r="J19" s="10"/>
      <c r="K19" s="8"/>
      <c r="L19" s="8"/>
      <c r="M19" s="8"/>
      <c r="N19" s="8"/>
      <c r="O19" s="8"/>
      <c r="P19" s="34" t="s">
        <v>54</v>
      </c>
      <c r="Q19" s="8"/>
      <c r="R19" s="63" t="s">
        <v>129</v>
      </c>
      <c r="S19" s="63" t="s">
        <v>115</v>
      </c>
      <c r="T19" s="63" t="s">
        <v>116</v>
      </c>
      <c r="U19" s="59" t="s">
        <v>106</v>
      </c>
      <c r="V19" s="3" t="s">
        <v>66</v>
      </c>
      <c r="W19" s="3"/>
      <c r="X19" s="3"/>
      <c r="Y19" s="3"/>
      <c r="Z19" s="49"/>
      <c r="AA19" s="63" t="s">
        <v>121</v>
      </c>
      <c r="AB19" s="63"/>
      <c r="AC19" s="63"/>
      <c r="AD19" s="63" t="s">
        <v>122</v>
      </c>
      <c r="AE19" s="63" t="s">
        <v>123</v>
      </c>
      <c r="AF19" s="63" t="s">
        <v>91</v>
      </c>
      <c r="AG19" s="63" t="s">
        <v>84</v>
      </c>
      <c r="AH19" s="63"/>
      <c r="AI19" s="63"/>
    </row>
    <row r="20" spans="1:35">
      <c r="A20" s="32" t="s">
        <v>130</v>
      </c>
      <c r="B20" s="43" t="s">
        <v>119</v>
      </c>
      <c r="C20" s="56">
        <v>17</v>
      </c>
      <c r="D20" s="57">
        <v>45341</v>
      </c>
      <c r="E20" s="58">
        <f t="shared" si="0"/>
        <v>2</v>
      </c>
      <c r="F20" s="59">
        <v>45943</v>
      </c>
      <c r="G20" s="60">
        <f t="shared" si="1"/>
        <v>0</v>
      </c>
      <c r="H20" s="59" t="s">
        <v>106</v>
      </c>
      <c r="I20" s="59" t="s">
        <v>106</v>
      </c>
      <c r="J20" s="10"/>
      <c r="K20" s="8"/>
      <c r="L20" s="8"/>
      <c r="M20" s="8"/>
      <c r="N20" s="8"/>
      <c r="O20" s="8"/>
      <c r="P20" s="34" t="s">
        <v>54</v>
      </c>
      <c r="Q20" s="8"/>
      <c r="R20" s="63" t="s">
        <v>120</v>
      </c>
      <c r="S20" s="63" t="s">
        <v>115</v>
      </c>
      <c r="T20" s="63" t="s">
        <v>116</v>
      </c>
      <c r="U20" s="59" t="s">
        <v>106</v>
      </c>
      <c r="V20" s="3" t="s">
        <v>66</v>
      </c>
      <c r="W20" s="3"/>
      <c r="X20" s="3"/>
      <c r="Y20" s="3"/>
      <c r="Z20" s="49"/>
      <c r="AA20" s="63" t="s">
        <v>121</v>
      </c>
      <c r="AB20" s="63"/>
      <c r="AC20" s="63"/>
      <c r="AD20" s="63" t="s">
        <v>122</v>
      </c>
      <c r="AE20" s="63" t="s">
        <v>123</v>
      </c>
      <c r="AF20" s="63" t="s">
        <v>91</v>
      </c>
      <c r="AG20" s="63" t="s">
        <v>84</v>
      </c>
      <c r="AH20" s="63"/>
      <c r="AI20" s="63"/>
    </row>
    <row r="21" spans="1:35">
      <c r="A21" s="32" t="s">
        <v>131</v>
      </c>
      <c r="B21" s="43" t="s">
        <v>132</v>
      </c>
      <c r="C21" s="56">
        <v>18</v>
      </c>
      <c r="D21" s="57">
        <v>45481</v>
      </c>
      <c r="E21" s="58">
        <f t="shared" si="0"/>
        <v>2</v>
      </c>
      <c r="F21" s="59" t="s">
        <v>53</v>
      </c>
      <c r="G21" s="60">
        <f>ROUND(YEARFRAC(D21,DATE(2026,3,7)),0)</f>
        <v>2</v>
      </c>
      <c r="H21" s="59" t="s">
        <v>106</v>
      </c>
      <c r="I21" s="59" t="s">
        <v>106</v>
      </c>
      <c r="J21" s="10"/>
      <c r="K21" s="8"/>
      <c r="L21" s="8"/>
      <c r="M21" s="8"/>
      <c r="N21" s="8"/>
      <c r="O21" s="8"/>
      <c r="P21" s="34" t="s">
        <v>50</v>
      </c>
      <c r="Q21" s="8"/>
      <c r="R21" s="63" t="s">
        <v>41</v>
      </c>
      <c r="S21" s="63" t="s">
        <v>133</v>
      </c>
      <c r="T21" s="63" t="s">
        <v>134</v>
      </c>
      <c r="U21" s="59" t="s">
        <v>39</v>
      </c>
      <c r="V21" s="3" t="s">
        <v>66</v>
      </c>
      <c r="W21" s="3"/>
      <c r="X21" s="3"/>
      <c r="Y21" s="3"/>
      <c r="Z21" s="49"/>
      <c r="AA21" s="63" t="s">
        <v>135</v>
      </c>
      <c r="AB21" s="63"/>
      <c r="AC21" s="63"/>
      <c r="AD21" s="63" t="s">
        <v>136</v>
      </c>
      <c r="AE21" s="63" t="s">
        <v>137</v>
      </c>
      <c r="AF21" s="63" t="s">
        <v>138</v>
      </c>
      <c r="AG21" s="63" t="s">
        <v>119</v>
      </c>
      <c r="AH21" s="63"/>
      <c r="AI21" s="63"/>
    </row>
    <row r="22" spans="1:35">
      <c r="A22" s="32" t="s">
        <v>139</v>
      </c>
      <c r="B22" s="43" t="s">
        <v>132</v>
      </c>
      <c r="C22" s="56">
        <v>19</v>
      </c>
      <c r="D22" s="57">
        <v>44914</v>
      </c>
      <c r="E22" s="58">
        <f t="shared" si="0"/>
        <v>3</v>
      </c>
      <c r="F22" s="59" t="s">
        <v>53</v>
      </c>
      <c r="G22" s="60">
        <f>ROUND(YEARFRAC(D22,DATE(2026,3,7)),0)</f>
        <v>3</v>
      </c>
      <c r="H22" s="59" t="s">
        <v>74</v>
      </c>
      <c r="I22" s="59" t="s">
        <v>106</v>
      </c>
      <c r="J22" s="10"/>
      <c r="K22" s="8"/>
      <c r="L22" s="8"/>
      <c r="M22" s="8"/>
      <c r="N22" s="8"/>
      <c r="O22" s="8"/>
      <c r="P22" s="34" t="s">
        <v>50</v>
      </c>
      <c r="Q22" s="8"/>
      <c r="R22" s="63" t="s">
        <v>41</v>
      </c>
      <c r="S22" s="63" t="s">
        <v>133</v>
      </c>
      <c r="T22" s="63" t="s">
        <v>134</v>
      </c>
      <c r="U22" s="59" t="s">
        <v>39</v>
      </c>
      <c r="V22" s="3" t="s">
        <v>66</v>
      </c>
      <c r="W22" s="3"/>
      <c r="X22" s="3"/>
      <c r="Y22" s="3"/>
      <c r="Z22" s="49"/>
      <c r="AA22" s="63" t="s">
        <v>135</v>
      </c>
      <c r="AB22" s="63"/>
      <c r="AC22" s="63"/>
      <c r="AD22" s="63" t="s">
        <v>136</v>
      </c>
      <c r="AE22" s="63" t="s">
        <v>137</v>
      </c>
      <c r="AF22" s="63" t="s">
        <v>138</v>
      </c>
      <c r="AG22" s="63" t="s">
        <v>119</v>
      </c>
      <c r="AH22" s="63"/>
      <c r="AI22" s="63"/>
    </row>
    <row r="23" spans="1:35">
      <c r="A23" s="32" t="s">
        <v>140</v>
      </c>
      <c r="B23" s="43" t="s">
        <v>132</v>
      </c>
      <c r="C23" s="56">
        <v>20</v>
      </c>
      <c r="D23" s="57">
        <v>45257</v>
      </c>
      <c r="E23" s="58">
        <f t="shared" si="0"/>
        <v>2</v>
      </c>
      <c r="F23" s="59" t="s">
        <v>53</v>
      </c>
      <c r="G23" s="60">
        <f>ROUND(YEARFRAC(D23,DATE(2026,3,7)),0)</f>
        <v>2</v>
      </c>
      <c r="H23" s="59" t="s">
        <v>106</v>
      </c>
      <c r="I23" s="59" t="s">
        <v>106</v>
      </c>
      <c r="J23" s="10"/>
      <c r="K23" s="8"/>
      <c r="L23" s="8"/>
      <c r="M23" s="8"/>
      <c r="N23" s="8"/>
      <c r="O23" s="8"/>
      <c r="P23" s="34" t="s">
        <v>50</v>
      </c>
      <c r="Q23" s="8"/>
      <c r="R23" s="63" t="s">
        <v>41</v>
      </c>
      <c r="S23" s="63" t="s">
        <v>133</v>
      </c>
      <c r="T23" s="63" t="s">
        <v>134</v>
      </c>
      <c r="U23" s="59" t="s">
        <v>39</v>
      </c>
      <c r="V23" s="3" t="s">
        <v>66</v>
      </c>
      <c r="W23" s="3"/>
      <c r="X23" s="3"/>
      <c r="Y23" s="3"/>
      <c r="Z23" s="49"/>
      <c r="AA23" s="63" t="s">
        <v>135</v>
      </c>
      <c r="AB23" s="63"/>
      <c r="AC23" s="63"/>
      <c r="AD23" s="63" t="s">
        <v>136</v>
      </c>
      <c r="AE23" s="63" t="s">
        <v>137</v>
      </c>
      <c r="AF23" s="63" t="s">
        <v>138</v>
      </c>
      <c r="AG23" s="63" t="s">
        <v>119</v>
      </c>
      <c r="AH23" s="63"/>
      <c r="AI23" s="63"/>
    </row>
    <row r="24" spans="1:35">
      <c r="A24" s="32" t="s">
        <v>141</v>
      </c>
      <c r="B24" s="43" t="s">
        <v>132</v>
      </c>
      <c r="C24" s="56">
        <v>21</v>
      </c>
      <c r="D24" s="57">
        <v>45257</v>
      </c>
      <c r="E24" s="58">
        <f t="shared" si="0"/>
        <v>2</v>
      </c>
      <c r="F24" s="59" t="s">
        <v>53</v>
      </c>
      <c r="G24" s="60">
        <f>ROUND(YEARFRAC(D24,DATE(2026,3,7)),0)</f>
        <v>2</v>
      </c>
      <c r="H24" s="59" t="s">
        <v>106</v>
      </c>
      <c r="I24" s="59" t="s">
        <v>106</v>
      </c>
      <c r="J24" s="10"/>
      <c r="K24" s="8"/>
      <c r="L24" s="8"/>
      <c r="M24" s="8"/>
      <c r="N24" s="8"/>
      <c r="O24" s="8"/>
      <c r="P24" s="34" t="s">
        <v>50</v>
      </c>
      <c r="Q24" s="8"/>
      <c r="R24" s="63" t="s">
        <v>41</v>
      </c>
      <c r="S24" s="63" t="s">
        <v>133</v>
      </c>
      <c r="T24" s="63" t="s">
        <v>134</v>
      </c>
      <c r="U24" s="59" t="s">
        <v>39</v>
      </c>
      <c r="V24" s="3" t="s">
        <v>66</v>
      </c>
      <c r="W24" s="3"/>
      <c r="X24" s="3"/>
      <c r="Y24" s="3"/>
      <c r="Z24" s="49"/>
      <c r="AA24" s="63" t="s">
        <v>135</v>
      </c>
      <c r="AB24" s="63"/>
      <c r="AC24" s="63"/>
      <c r="AD24" s="63" t="s">
        <v>136</v>
      </c>
      <c r="AE24" s="63" t="s">
        <v>137</v>
      </c>
      <c r="AF24" s="63" t="s">
        <v>138</v>
      </c>
      <c r="AG24" s="63" t="s">
        <v>119</v>
      </c>
      <c r="AH24" s="63"/>
      <c r="AI24" s="63"/>
    </row>
    <row r="25" spans="1:35">
      <c r="A25" s="32" t="s">
        <v>142</v>
      </c>
      <c r="B25" s="43" t="s">
        <v>143</v>
      </c>
      <c r="C25" s="56">
        <v>22</v>
      </c>
      <c r="D25" s="57">
        <v>39797</v>
      </c>
      <c r="E25" s="58">
        <f t="shared" si="0"/>
        <v>17</v>
      </c>
      <c r="F25" s="59">
        <v>45565</v>
      </c>
      <c r="G25" s="60">
        <f>ROUND(YEARFRAC(F25,DATE(2026,3,7)),0)</f>
        <v>1</v>
      </c>
      <c r="H25" s="59" t="s">
        <v>39</v>
      </c>
      <c r="I25" s="59" t="s">
        <v>39</v>
      </c>
      <c r="J25" s="10" t="s">
        <v>63</v>
      </c>
      <c r="K25" s="8"/>
      <c r="L25" s="8"/>
      <c r="M25" s="8"/>
      <c r="N25" s="8"/>
      <c r="O25" s="8"/>
      <c r="P25" s="34" t="s">
        <v>54</v>
      </c>
      <c r="Q25" s="8"/>
      <c r="R25" s="63" t="s">
        <v>144</v>
      </c>
      <c r="S25" s="3"/>
      <c r="T25" s="63" t="s">
        <v>145</v>
      </c>
      <c r="U25" s="59" t="s">
        <v>41</v>
      </c>
      <c r="V25" s="3" t="s">
        <v>41</v>
      </c>
      <c r="W25" s="3"/>
      <c r="X25" s="3"/>
      <c r="Y25" s="3"/>
      <c r="Z25" s="49"/>
      <c r="AA25" s="63" t="s">
        <v>146</v>
      </c>
      <c r="AB25" s="63"/>
      <c r="AC25" s="63" t="s">
        <v>147</v>
      </c>
      <c r="AD25" s="63" t="s">
        <v>148</v>
      </c>
      <c r="AE25" s="63" t="s">
        <v>60</v>
      </c>
      <c r="AF25" s="63" t="s">
        <v>45</v>
      </c>
      <c r="AG25" s="63" t="s">
        <v>37</v>
      </c>
      <c r="AH25" s="63"/>
      <c r="AI25" s="63"/>
    </row>
    <row r="26" spans="1:35">
      <c r="A26" s="32" t="s">
        <v>149</v>
      </c>
      <c r="B26" s="2" t="s">
        <v>150</v>
      </c>
      <c r="C26" s="56">
        <v>23</v>
      </c>
      <c r="D26" s="59">
        <v>44571</v>
      </c>
      <c r="E26" s="58">
        <f t="shared" si="0"/>
        <v>4</v>
      </c>
      <c r="F26" s="59">
        <v>45565</v>
      </c>
      <c r="G26" s="60">
        <f>ROUND(YEARFRAC(F26,DATE(2026,3,7)),0)</f>
        <v>1</v>
      </c>
      <c r="H26" s="59" t="s">
        <v>74</v>
      </c>
      <c r="I26" s="59" t="s">
        <v>74</v>
      </c>
      <c r="J26" s="10"/>
      <c r="K26" s="8"/>
      <c r="L26" s="8"/>
      <c r="M26" s="8"/>
      <c r="N26" s="8"/>
      <c r="O26" s="8"/>
      <c r="P26" s="34" t="s">
        <v>54</v>
      </c>
      <c r="Q26" s="8"/>
      <c r="R26" s="63" t="s">
        <v>144</v>
      </c>
      <c r="S26" s="3"/>
      <c r="T26" s="63" t="s">
        <v>145</v>
      </c>
      <c r="U26" s="59" t="s">
        <v>106</v>
      </c>
      <c r="V26" s="3" t="s">
        <v>66</v>
      </c>
      <c r="W26" s="3"/>
      <c r="X26" s="3"/>
      <c r="Y26" s="3"/>
      <c r="Z26" s="49"/>
      <c r="AA26" s="63" t="s">
        <v>146</v>
      </c>
      <c r="AB26" s="63"/>
      <c r="AC26" s="63"/>
      <c r="AD26" s="63" t="s">
        <v>151</v>
      </c>
      <c r="AE26" s="63" t="s">
        <v>152</v>
      </c>
      <c r="AF26" s="63"/>
      <c r="AG26" s="63" t="s">
        <v>143</v>
      </c>
      <c r="AH26" s="63"/>
      <c r="AI26" s="63"/>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F6F7-CF43-4976-915A-803FC98A4573}">
  <dimension ref="A2:I34"/>
  <sheetViews>
    <sheetView topLeftCell="A6" workbookViewId="0">
      <selection activeCell="N13" sqref="N13"/>
    </sheetView>
  </sheetViews>
  <sheetFormatPr defaultRowHeight="14.45"/>
  <cols>
    <col min="1" max="1" width="34.42578125" bestFit="1" customWidth="1"/>
    <col min="2" max="2" width="15.28515625" bestFit="1" customWidth="1"/>
    <col min="3" max="3" width="7.85546875" bestFit="1" customWidth="1"/>
    <col min="4" max="4" width="4.5703125" bestFit="1" customWidth="1"/>
    <col min="5" max="5" width="6.7109375" bestFit="1" customWidth="1"/>
    <col min="6" max="6" width="10.7109375" bestFit="1" customWidth="1"/>
    <col min="9" max="9" width="47.7109375" customWidth="1"/>
  </cols>
  <sheetData>
    <row r="2" spans="1:9">
      <c r="A2" t="s">
        <v>153</v>
      </c>
    </row>
    <row r="3" spans="1:9">
      <c r="A3" s="27" t="s">
        <v>154</v>
      </c>
      <c r="B3" s="27" t="s">
        <v>155</v>
      </c>
    </row>
    <row r="4" spans="1:9">
      <c r="A4" s="27" t="s">
        <v>156</v>
      </c>
      <c r="B4" t="s">
        <v>106</v>
      </c>
      <c r="C4" t="s">
        <v>74</v>
      </c>
      <c r="D4" t="s">
        <v>39</v>
      </c>
      <c r="E4" t="s">
        <v>157</v>
      </c>
      <c r="F4" t="s">
        <v>158</v>
      </c>
    </row>
    <row r="5" spans="1:9">
      <c r="A5" s="28" t="s">
        <v>52</v>
      </c>
      <c r="C5">
        <v>1</v>
      </c>
      <c r="F5">
        <v>1</v>
      </c>
    </row>
    <row r="6" spans="1:9">
      <c r="A6" s="28" t="s">
        <v>143</v>
      </c>
      <c r="D6">
        <v>1</v>
      </c>
      <c r="F6">
        <v>1</v>
      </c>
    </row>
    <row r="7" spans="1:9">
      <c r="A7" s="28" t="s">
        <v>37</v>
      </c>
      <c r="D7">
        <v>1</v>
      </c>
      <c r="F7">
        <v>1</v>
      </c>
    </row>
    <row r="8" spans="1:9">
      <c r="A8" s="28" t="s">
        <v>84</v>
      </c>
      <c r="C8">
        <v>2</v>
      </c>
      <c r="D8" s="29">
        <v>3</v>
      </c>
      <c r="F8">
        <v>5</v>
      </c>
    </row>
    <row r="9" spans="1:9" ht="29.1">
      <c r="A9" s="28" t="s">
        <v>105</v>
      </c>
      <c r="C9">
        <v>1</v>
      </c>
      <c r="F9">
        <v>1</v>
      </c>
      <c r="I9" s="30" t="s">
        <v>159</v>
      </c>
    </row>
    <row r="10" spans="1:9">
      <c r="A10" s="28" t="s">
        <v>62</v>
      </c>
      <c r="D10">
        <v>1</v>
      </c>
      <c r="F10">
        <v>1</v>
      </c>
    </row>
    <row r="11" spans="1:9">
      <c r="A11" s="28" t="s">
        <v>73</v>
      </c>
      <c r="D11">
        <v>1</v>
      </c>
      <c r="F11">
        <v>1</v>
      </c>
    </row>
    <row r="12" spans="1:9">
      <c r="A12" s="28" t="s">
        <v>132</v>
      </c>
      <c r="B12" s="29">
        <v>3</v>
      </c>
      <c r="C12">
        <v>1</v>
      </c>
      <c r="F12">
        <v>4</v>
      </c>
    </row>
    <row r="13" spans="1:9">
      <c r="A13" s="28" t="s">
        <v>119</v>
      </c>
      <c r="B13">
        <v>2</v>
      </c>
      <c r="C13" s="29">
        <v>3</v>
      </c>
      <c r="D13">
        <v>1</v>
      </c>
      <c r="F13">
        <v>6</v>
      </c>
    </row>
    <row r="14" spans="1:9">
      <c r="A14" s="28" t="s">
        <v>113</v>
      </c>
      <c r="C14">
        <v>1</v>
      </c>
      <c r="F14">
        <v>1</v>
      </c>
    </row>
    <row r="15" spans="1:9">
      <c r="A15" s="28" t="s">
        <v>150</v>
      </c>
      <c r="B15">
        <v>1</v>
      </c>
      <c r="F15">
        <v>1</v>
      </c>
    </row>
    <row r="16" spans="1:9">
      <c r="A16" s="28" t="s">
        <v>157</v>
      </c>
      <c r="E16">
        <v>1</v>
      </c>
      <c r="F16">
        <v>1</v>
      </c>
    </row>
    <row r="17" spans="1:9">
      <c r="A17" s="28" t="s">
        <v>158</v>
      </c>
      <c r="B17">
        <v>6</v>
      </c>
      <c r="C17">
        <v>9</v>
      </c>
      <c r="D17">
        <v>8</v>
      </c>
      <c r="E17">
        <v>1</v>
      </c>
      <c r="F17">
        <v>24</v>
      </c>
    </row>
    <row r="19" spans="1:9">
      <c r="A19" s="28" t="s">
        <v>160</v>
      </c>
    </row>
    <row r="20" spans="1:9">
      <c r="A20" s="27" t="s">
        <v>154</v>
      </c>
      <c r="B20" s="27" t="s">
        <v>155</v>
      </c>
    </row>
    <row r="21" spans="1:9">
      <c r="A21" s="27" t="s">
        <v>156</v>
      </c>
      <c r="B21" t="s">
        <v>106</v>
      </c>
      <c r="C21" t="s">
        <v>74</v>
      </c>
      <c r="D21" t="s">
        <v>39</v>
      </c>
      <c r="E21" t="s">
        <v>157</v>
      </c>
      <c r="F21" t="s">
        <v>158</v>
      </c>
    </row>
    <row r="22" spans="1:9">
      <c r="A22" s="28" t="s">
        <v>52</v>
      </c>
      <c r="D22" s="29">
        <v>1</v>
      </c>
      <c r="F22">
        <v>1</v>
      </c>
    </row>
    <row r="23" spans="1:9">
      <c r="A23" s="28" t="s">
        <v>143</v>
      </c>
      <c r="D23" s="29">
        <v>1</v>
      </c>
      <c r="F23">
        <v>1</v>
      </c>
    </row>
    <row r="24" spans="1:9">
      <c r="A24" s="28" t="s">
        <v>37</v>
      </c>
      <c r="D24" s="29">
        <v>1</v>
      </c>
      <c r="F24">
        <v>1</v>
      </c>
    </row>
    <row r="25" spans="1:9" ht="43.5">
      <c r="A25" s="28" t="s">
        <v>84</v>
      </c>
      <c r="C25" s="29">
        <v>5</v>
      </c>
      <c r="F25">
        <v>5</v>
      </c>
      <c r="I25" s="30" t="s">
        <v>161</v>
      </c>
    </row>
    <row r="26" spans="1:9">
      <c r="A26" s="28" t="s">
        <v>105</v>
      </c>
      <c r="B26">
        <v>1</v>
      </c>
      <c r="F26">
        <v>1</v>
      </c>
    </row>
    <row r="27" spans="1:9">
      <c r="A27" s="28" t="s">
        <v>62</v>
      </c>
      <c r="D27" s="29">
        <v>1</v>
      </c>
      <c r="F27">
        <v>1</v>
      </c>
    </row>
    <row r="28" spans="1:9">
      <c r="A28" s="28" t="s">
        <v>73</v>
      </c>
      <c r="C28">
        <v>1</v>
      </c>
      <c r="F28">
        <v>1</v>
      </c>
    </row>
    <row r="29" spans="1:9">
      <c r="A29" s="28" t="s">
        <v>132</v>
      </c>
      <c r="B29" s="29">
        <v>4</v>
      </c>
      <c r="F29">
        <v>4</v>
      </c>
    </row>
    <row r="30" spans="1:9">
      <c r="A30" s="28" t="s">
        <v>119</v>
      </c>
      <c r="B30" s="29">
        <v>6</v>
      </c>
      <c r="F30">
        <v>6</v>
      </c>
    </row>
    <row r="31" spans="1:9">
      <c r="A31" s="28" t="s">
        <v>113</v>
      </c>
      <c r="B31">
        <v>1</v>
      </c>
      <c r="F31">
        <v>1</v>
      </c>
    </row>
    <row r="32" spans="1:9">
      <c r="A32" s="28" t="s">
        <v>150</v>
      </c>
      <c r="C32">
        <v>1</v>
      </c>
      <c r="F32">
        <v>1</v>
      </c>
    </row>
    <row r="33" spans="1:6">
      <c r="A33" s="28" t="s">
        <v>157</v>
      </c>
      <c r="E33">
        <v>1</v>
      </c>
      <c r="F33">
        <v>1</v>
      </c>
    </row>
    <row r="34" spans="1:6">
      <c r="A34" s="28" t="s">
        <v>158</v>
      </c>
      <c r="B34">
        <v>12</v>
      </c>
      <c r="C34">
        <v>7</v>
      </c>
      <c r="D34">
        <v>4</v>
      </c>
      <c r="E34">
        <v>1</v>
      </c>
      <c r="F34">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18" sqref="B18"/>
    </sheetView>
  </sheetViews>
  <sheetFormatPr defaultRowHeight="14.45"/>
  <cols>
    <col min="1" max="1" width="22.140625" bestFit="1" customWidth="1"/>
    <col min="2" max="2" width="133.42578125" bestFit="1" customWidth="1"/>
  </cols>
  <sheetData>
    <row r="1" spans="1:2">
      <c r="A1" s="12" t="s">
        <v>162</v>
      </c>
      <c r="B1" s="12" t="s">
        <v>163</v>
      </c>
    </row>
    <row r="2" spans="1:2">
      <c r="A2" s="11" t="s">
        <v>164</v>
      </c>
      <c r="B2" s="11" t="s">
        <v>165</v>
      </c>
    </row>
    <row r="3" spans="1:2">
      <c r="A3" s="11" t="s">
        <v>166</v>
      </c>
      <c r="B3" s="11" t="s">
        <v>167</v>
      </c>
    </row>
    <row r="4" spans="1:2">
      <c r="A4" s="11" t="s">
        <v>168</v>
      </c>
      <c r="B4" s="11" t="s">
        <v>169</v>
      </c>
    </row>
    <row r="5" spans="1:2">
      <c r="A5" s="11" t="s">
        <v>170</v>
      </c>
      <c r="B5" s="11" t="s">
        <v>171</v>
      </c>
    </row>
    <row r="6" spans="1:2">
      <c r="A6" s="13"/>
      <c r="B6" s="13"/>
    </row>
    <row r="7" spans="1:2">
      <c r="A7" s="11" t="s">
        <v>172</v>
      </c>
      <c r="B7" s="11" t="s">
        <v>173</v>
      </c>
    </row>
    <row r="8" spans="1:2">
      <c r="A8" s="11" t="s">
        <v>174</v>
      </c>
      <c r="B8" s="11" t="s">
        <v>175</v>
      </c>
    </row>
    <row r="9" spans="1:2">
      <c r="A9" s="11" t="s">
        <v>176</v>
      </c>
      <c r="B9" s="11" t="s">
        <v>177</v>
      </c>
    </row>
    <row r="10" spans="1:2">
      <c r="A10" s="11" t="s">
        <v>178</v>
      </c>
      <c r="B10" s="11" t="s">
        <v>179</v>
      </c>
    </row>
    <row r="11" spans="1:2">
      <c r="A11" s="11" t="s">
        <v>180</v>
      </c>
      <c r="B11" s="11" t="s">
        <v>181</v>
      </c>
    </row>
    <row r="12" spans="1:2">
      <c r="A12" s="11" t="s">
        <v>182</v>
      </c>
      <c r="B12" s="11" t="s">
        <v>183</v>
      </c>
    </row>
    <row r="13" spans="1:2">
      <c r="A13" s="11" t="s">
        <v>184</v>
      </c>
      <c r="B13" s="11" t="s">
        <v>185</v>
      </c>
    </row>
    <row r="16" spans="1:2">
      <c r="B16" s="14" t="s">
        <v>186</v>
      </c>
    </row>
    <row r="17" spans="2:2">
      <c r="B17" s="14" t="s">
        <v>187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9038-61AD-4FBC-AA35-6B9AC2DA8823}">
  <dimension ref="A1:I24"/>
  <sheetViews>
    <sheetView workbookViewId="0">
      <selection activeCell="K6" sqref="K6"/>
    </sheetView>
  </sheetViews>
  <sheetFormatPr defaultRowHeight="14.45"/>
  <cols>
    <col min="1" max="1" width="11.28515625" bestFit="1" customWidth="1"/>
    <col min="2" max="2" width="34.42578125" bestFit="1" customWidth="1"/>
    <col min="3" max="3" width="18.42578125" bestFit="1" customWidth="1"/>
    <col min="4" max="4" width="13.5703125" bestFit="1" customWidth="1"/>
    <col min="5" max="5" width="14.28515625" bestFit="1" customWidth="1"/>
    <col min="6" max="6" width="130" bestFit="1" customWidth="1"/>
    <col min="7" max="7" width="34.42578125" bestFit="1" customWidth="1"/>
    <col min="8" max="8" width="17.5703125" bestFit="1" customWidth="1"/>
    <col min="9" max="9" width="31.28515625" bestFit="1" customWidth="1"/>
  </cols>
  <sheetData>
    <row r="1" spans="1:9">
      <c r="A1" s="16" t="s">
        <v>188</v>
      </c>
      <c r="B1" s="18" t="s">
        <v>189</v>
      </c>
      <c r="C1" s="18" t="s">
        <v>7</v>
      </c>
      <c r="D1" s="18" t="s">
        <v>172</v>
      </c>
      <c r="E1" s="18" t="s">
        <v>164</v>
      </c>
      <c r="F1" s="18" t="s">
        <v>190</v>
      </c>
      <c r="G1" s="18" t="s">
        <v>33</v>
      </c>
      <c r="H1" s="18" t="s">
        <v>191</v>
      </c>
      <c r="I1" s="15" t="s">
        <v>192</v>
      </c>
    </row>
    <row r="2" spans="1:9">
      <c r="A2" s="17" t="s">
        <v>193</v>
      </c>
      <c r="B2" s="19" t="s">
        <v>37</v>
      </c>
      <c r="C2" s="19">
        <v>8</v>
      </c>
      <c r="D2" s="19" t="s">
        <v>39</v>
      </c>
      <c r="E2" s="19" t="s">
        <v>39</v>
      </c>
      <c r="F2" s="19" t="s">
        <v>44</v>
      </c>
      <c r="G2" s="19" t="s">
        <v>46</v>
      </c>
      <c r="H2" s="19" t="s">
        <v>46</v>
      </c>
      <c r="I2" s="14" t="s">
        <v>194</v>
      </c>
    </row>
    <row r="3" spans="1:9">
      <c r="A3" s="17" t="s">
        <v>195</v>
      </c>
      <c r="B3" s="19" t="s">
        <v>52</v>
      </c>
      <c r="C3" s="19">
        <v>4</v>
      </c>
      <c r="D3" s="19" t="s">
        <v>39</v>
      </c>
      <c r="E3" s="19" t="s">
        <v>39</v>
      </c>
      <c r="F3" s="19" t="s">
        <v>59</v>
      </c>
      <c r="G3" s="19" t="s">
        <v>37</v>
      </c>
      <c r="H3" s="19" t="s">
        <v>196</v>
      </c>
      <c r="I3" s="14" t="s">
        <v>194</v>
      </c>
    </row>
    <row r="4" spans="1:9">
      <c r="A4" s="17" t="s">
        <v>197</v>
      </c>
      <c r="B4" s="19" t="s">
        <v>62</v>
      </c>
      <c r="C4" s="19">
        <v>3</v>
      </c>
      <c r="D4" s="19" t="s">
        <v>39</v>
      </c>
      <c r="E4" s="19" t="s">
        <v>39</v>
      </c>
      <c r="F4" s="19" t="s">
        <v>69</v>
      </c>
      <c r="G4" s="19" t="s">
        <v>52</v>
      </c>
      <c r="H4" s="19" t="s">
        <v>198</v>
      </c>
      <c r="I4" s="14" t="s">
        <v>194</v>
      </c>
    </row>
    <row r="5" spans="1:9">
      <c r="A5" s="17" t="s">
        <v>199</v>
      </c>
      <c r="B5" s="19" t="s">
        <v>73</v>
      </c>
      <c r="C5" s="19">
        <v>3</v>
      </c>
      <c r="D5" s="19" t="s">
        <v>39</v>
      </c>
      <c r="E5" s="19" t="s">
        <v>74</v>
      </c>
      <c r="F5" s="19" t="s">
        <v>200</v>
      </c>
      <c r="G5" s="19" t="s">
        <v>62</v>
      </c>
      <c r="H5" s="19" t="s">
        <v>201</v>
      </c>
      <c r="I5" s="14" t="s">
        <v>194</v>
      </c>
    </row>
    <row r="6" spans="1:9">
      <c r="A6" s="17" t="s">
        <v>202</v>
      </c>
      <c r="B6" s="19" t="s">
        <v>84</v>
      </c>
      <c r="C6" s="19">
        <v>5</v>
      </c>
      <c r="D6" s="19" t="s">
        <v>39</v>
      </c>
      <c r="E6" s="19" t="s">
        <v>74</v>
      </c>
      <c r="F6" s="19" t="s">
        <v>203</v>
      </c>
      <c r="G6" s="19" t="s">
        <v>73</v>
      </c>
      <c r="H6" s="19" t="s">
        <v>201</v>
      </c>
      <c r="I6" s="14" t="s">
        <v>194</v>
      </c>
    </row>
    <row r="7" spans="1:9">
      <c r="A7" s="17" t="s">
        <v>204</v>
      </c>
      <c r="B7" s="19" t="s">
        <v>84</v>
      </c>
      <c r="C7" s="19">
        <v>2</v>
      </c>
      <c r="D7" s="19" t="s">
        <v>39</v>
      </c>
      <c r="E7" s="19" t="s">
        <v>74</v>
      </c>
      <c r="F7" s="19" t="s">
        <v>203</v>
      </c>
      <c r="G7" s="19" t="s">
        <v>73</v>
      </c>
      <c r="H7" s="19" t="s">
        <v>201</v>
      </c>
      <c r="I7" s="14" t="s">
        <v>194</v>
      </c>
    </row>
    <row r="8" spans="1:9">
      <c r="A8" s="17" t="s">
        <v>205</v>
      </c>
      <c r="B8" s="19" t="s">
        <v>84</v>
      </c>
      <c r="C8" s="19">
        <v>25</v>
      </c>
      <c r="D8" s="19" t="s">
        <v>39</v>
      </c>
      <c r="E8" s="19" t="s">
        <v>74</v>
      </c>
      <c r="F8" s="19" t="s">
        <v>203</v>
      </c>
      <c r="G8" s="19" t="s">
        <v>73</v>
      </c>
      <c r="H8" s="19" t="s">
        <v>201</v>
      </c>
      <c r="I8" s="14" t="s">
        <v>194</v>
      </c>
    </row>
    <row r="9" spans="1:9">
      <c r="A9" s="17" t="s">
        <v>206</v>
      </c>
      <c r="B9" s="19" t="s">
        <v>84</v>
      </c>
      <c r="C9" s="19">
        <v>5</v>
      </c>
      <c r="D9" s="19" t="s">
        <v>39</v>
      </c>
      <c r="E9" s="19" t="s">
        <v>74</v>
      </c>
      <c r="F9" s="19" t="s">
        <v>203</v>
      </c>
      <c r="G9" s="19" t="s">
        <v>73</v>
      </c>
      <c r="H9" s="19" t="s">
        <v>201</v>
      </c>
      <c r="I9" s="14" t="s">
        <v>194</v>
      </c>
    </row>
    <row r="10" spans="1:9">
      <c r="A10" s="17" t="s">
        <v>207</v>
      </c>
      <c r="B10" s="19" t="s">
        <v>84</v>
      </c>
      <c r="C10" s="19">
        <v>3</v>
      </c>
      <c r="D10" s="19" t="s">
        <v>74</v>
      </c>
      <c r="E10" s="19" t="s">
        <v>74</v>
      </c>
      <c r="F10" s="19" t="s">
        <v>203</v>
      </c>
      <c r="G10" s="19" t="s">
        <v>73</v>
      </c>
      <c r="H10" s="19" t="s">
        <v>201</v>
      </c>
      <c r="I10" s="14" t="s">
        <v>194</v>
      </c>
    </row>
    <row r="11" spans="1:9">
      <c r="A11" s="17" t="s">
        <v>208</v>
      </c>
      <c r="B11" s="19" t="s">
        <v>105</v>
      </c>
      <c r="C11" s="19">
        <v>4</v>
      </c>
      <c r="D11" s="19" t="s">
        <v>39</v>
      </c>
      <c r="E11" s="19" t="s">
        <v>106</v>
      </c>
      <c r="F11" s="19" t="s">
        <v>109</v>
      </c>
      <c r="G11" s="19" t="s">
        <v>111</v>
      </c>
      <c r="H11" s="19" t="s">
        <v>209</v>
      </c>
      <c r="I11" s="14" t="s">
        <v>194</v>
      </c>
    </row>
    <row r="12" spans="1:9">
      <c r="A12" s="17" t="s">
        <v>210</v>
      </c>
      <c r="B12" s="19" t="s">
        <v>113</v>
      </c>
      <c r="C12" s="19">
        <v>4</v>
      </c>
      <c r="D12" s="19" t="s">
        <v>39</v>
      </c>
      <c r="E12" s="19" t="s">
        <v>106</v>
      </c>
      <c r="F12" s="19" t="s">
        <v>117</v>
      </c>
      <c r="G12" s="19" t="s">
        <v>111</v>
      </c>
      <c r="H12" s="19" t="s">
        <v>209</v>
      </c>
      <c r="I12" s="14" t="s">
        <v>194</v>
      </c>
    </row>
    <row r="13" spans="1:9">
      <c r="A13" s="17" t="s">
        <v>211</v>
      </c>
      <c r="B13" s="19" t="s">
        <v>119</v>
      </c>
      <c r="C13" s="19">
        <v>3</v>
      </c>
      <c r="D13" s="19" t="s">
        <v>74</v>
      </c>
      <c r="E13" s="19" t="s">
        <v>106</v>
      </c>
      <c r="F13" s="19" t="s">
        <v>122</v>
      </c>
      <c r="G13" s="19" t="s">
        <v>84</v>
      </c>
      <c r="H13" s="19" t="s">
        <v>209</v>
      </c>
      <c r="I13" s="14" t="s">
        <v>194</v>
      </c>
    </row>
    <row r="14" spans="1:9">
      <c r="A14" s="17" t="s">
        <v>212</v>
      </c>
      <c r="B14" s="19" t="s">
        <v>119</v>
      </c>
      <c r="C14" s="19">
        <v>3</v>
      </c>
      <c r="D14" s="19" t="s">
        <v>74</v>
      </c>
      <c r="E14" s="19" t="s">
        <v>106</v>
      </c>
      <c r="F14" s="19" t="s">
        <v>122</v>
      </c>
      <c r="G14" s="19" t="s">
        <v>84</v>
      </c>
      <c r="H14" s="19" t="s">
        <v>209</v>
      </c>
      <c r="I14" s="14" t="s">
        <v>194</v>
      </c>
    </row>
    <row r="15" spans="1:9">
      <c r="A15" s="17" t="s">
        <v>213</v>
      </c>
      <c r="B15" s="19" t="s">
        <v>119</v>
      </c>
      <c r="C15" s="19">
        <v>2</v>
      </c>
      <c r="D15" s="19" t="s">
        <v>106</v>
      </c>
      <c r="E15" s="19" t="s">
        <v>106</v>
      </c>
      <c r="F15" s="19" t="s">
        <v>122</v>
      </c>
      <c r="G15" s="19" t="s">
        <v>84</v>
      </c>
      <c r="H15" s="19" t="s">
        <v>209</v>
      </c>
      <c r="I15" s="14" t="s">
        <v>194</v>
      </c>
    </row>
    <row r="16" spans="1:9">
      <c r="A16" s="17" t="s">
        <v>214</v>
      </c>
      <c r="B16" s="19" t="s">
        <v>119</v>
      </c>
      <c r="C16" s="19">
        <v>21</v>
      </c>
      <c r="D16" s="19" t="s">
        <v>39</v>
      </c>
      <c r="E16" s="19" t="s">
        <v>106</v>
      </c>
      <c r="F16" s="19" t="s">
        <v>122</v>
      </c>
      <c r="G16" s="19" t="s">
        <v>84</v>
      </c>
      <c r="H16" s="19" t="s">
        <v>209</v>
      </c>
      <c r="I16" s="14" t="s">
        <v>194</v>
      </c>
    </row>
    <row r="17" spans="1:9">
      <c r="A17" s="17" t="s">
        <v>215</v>
      </c>
      <c r="B17" s="19" t="s">
        <v>119</v>
      </c>
      <c r="C17" s="19">
        <v>3</v>
      </c>
      <c r="D17" s="19" t="s">
        <v>74</v>
      </c>
      <c r="E17" s="19" t="s">
        <v>106</v>
      </c>
      <c r="F17" s="19" t="s">
        <v>122</v>
      </c>
      <c r="G17" s="19" t="s">
        <v>84</v>
      </c>
      <c r="H17" s="19" t="s">
        <v>209</v>
      </c>
      <c r="I17" s="14" t="s">
        <v>194</v>
      </c>
    </row>
    <row r="18" spans="1:9">
      <c r="A18" s="17" t="s">
        <v>216</v>
      </c>
      <c r="B18" s="19" t="s">
        <v>119</v>
      </c>
      <c r="C18" s="19">
        <v>0</v>
      </c>
      <c r="D18" s="19" t="s">
        <v>106</v>
      </c>
      <c r="E18" s="19" t="s">
        <v>106</v>
      </c>
      <c r="F18" s="19" t="s">
        <v>122</v>
      </c>
      <c r="G18" s="19" t="s">
        <v>84</v>
      </c>
      <c r="H18" s="19" t="s">
        <v>209</v>
      </c>
      <c r="I18" s="14" t="s">
        <v>194</v>
      </c>
    </row>
    <row r="19" spans="1:9">
      <c r="A19" s="17" t="s">
        <v>217</v>
      </c>
      <c r="B19" s="19" t="s">
        <v>132</v>
      </c>
      <c r="C19" s="19">
        <v>2</v>
      </c>
      <c r="D19" s="19" t="s">
        <v>106</v>
      </c>
      <c r="E19" s="19" t="s">
        <v>106</v>
      </c>
      <c r="F19" s="19" t="s">
        <v>136</v>
      </c>
      <c r="G19" s="19" t="s">
        <v>119</v>
      </c>
      <c r="H19" s="19" t="s">
        <v>218</v>
      </c>
      <c r="I19" s="14" t="s">
        <v>194</v>
      </c>
    </row>
    <row r="20" spans="1:9">
      <c r="A20" s="17" t="s">
        <v>219</v>
      </c>
      <c r="B20" s="19" t="s">
        <v>132</v>
      </c>
      <c r="C20" s="19">
        <v>3</v>
      </c>
      <c r="D20" s="19" t="s">
        <v>74</v>
      </c>
      <c r="E20" s="19" t="s">
        <v>106</v>
      </c>
      <c r="F20" s="19" t="s">
        <v>136</v>
      </c>
      <c r="G20" s="19" t="s">
        <v>119</v>
      </c>
      <c r="H20" s="19" t="s">
        <v>218</v>
      </c>
      <c r="I20" s="14" t="s">
        <v>194</v>
      </c>
    </row>
    <row r="21" spans="1:9">
      <c r="A21" s="17" t="s">
        <v>220</v>
      </c>
      <c r="B21" s="19" t="s">
        <v>132</v>
      </c>
      <c r="C21" s="19">
        <v>2</v>
      </c>
      <c r="D21" s="19" t="s">
        <v>106</v>
      </c>
      <c r="E21" s="19" t="s">
        <v>106</v>
      </c>
      <c r="F21" s="19" t="s">
        <v>136</v>
      </c>
      <c r="G21" s="19" t="s">
        <v>119</v>
      </c>
      <c r="H21" s="19" t="s">
        <v>218</v>
      </c>
      <c r="I21" s="14" t="s">
        <v>194</v>
      </c>
    </row>
    <row r="22" spans="1:9">
      <c r="A22" s="17" t="s">
        <v>221</v>
      </c>
      <c r="B22" s="19" t="s">
        <v>132</v>
      </c>
      <c r="C22" s="19">
        <v>2</v>
      </c>
      <c r="D22" s="19" t="s">
        <v>106</v>
      </c>
      <c r="E22" s="19" t="s">
        <v>106</v>
      </c>
      <c r="F22" s="19" t="s">
        <v>136</v>
      </c>
      <c r="G22" s="19" t="s">
        <v>119</v>
      </c>
      <c r="H22" s="19" t="s">
        <v>218</v>
      </c>
      <c r="I22" s="14" t="s">
        <v>194</v>
      </c>
    </row>
    <row r="23" spans="1:9">
      <c r="A23" s="17" t="s">
        <v>222</v>
      </c>
      <c r="B23" s="19" t="s">
        <v>143</v>
      </c>
      <c r="C23" s="19">
        <v>1</v>
      </c>
      <c r="D23" s="19" t="s">
        <v>39</v>
      </c>
      <c r="E23" s="19" t="s">
        <v>39</v>
      </c>
      <c r="F23" s="19" t="s">
        <v>148</v>
      </c>
      <c r="G23" s="19" t="s">
        <v>37</v>
      </c>
      <c r="H23" s="19" t="s">
        <v>196</v>
      </c>
      <c r="I23" s="14" t="s">
        <v>194</v>
      </c>
    </row>
    <row r="24" spans="1:9">
      <c r="A24" s="17" t="s">
        <v>223</v>
      </c>
      <c r="B24" s="19" t="s">
        <v>150</v>
      </c>
      <c r="C24" s="19">
        <v>1</v>
      </c>
      <c r="D24" s="19" t="s">
        <v>74</v>
      </c>
      <c r="E24" s="19" t="s">
        <v>74</v>
      </c>
      <c r="F24" s="19" t="s">
        <v>151</v>
      </c>
      <c r="G24" s="19" t="s">
        <v>143</v>
      </c>
      <c r="H24" s="19" t="s">
        <v>201</v>
      </c>
      <c r="I24" s="14"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3D16-7758-4B84-B531-614D22182A24}">
  <dimension ref="A1:E51"/>
  <sheetViews>
    <sheetView workbookViewId="0">
      <selection activeCell="B15" sqref="B15"/>
    </sheetView>
  </sheetViews>
  <sheetFormatPr defaultRowHeight="14.45"/>
  <cols>
    <col min="1" max="1" width="38.140625" bestFit="1" customWidth="1"/>
    <col min="2" max="2" width="35.5703125" bestFit="1" customWidth="1"/>
    <col min="3" max="3" width="59.42578125" bestFit="1" customWidth="1"/>
    <col min="4" max="4" width="48.7109375" bestFit="1" customWidth="1"/>
    <col min="5" max="5" width="50.85546875" bestFit="1" customWidth="1"/>
  </cols>
  <sheetData>
    <row r="1" spans="1:5">
      <c r="A1" s="21" t="s">
        <v>224</v>
      </c>
    </row>
    <row r="2" spans="1:5">
      <c r="A2" s="12" t="s">
        <v>189</v>
      </c>
      <c r="B2" s="12" t="s">
        <v>225</v>
      </c>
      <c r="C2" s="12" t="s">
        <v>226</v>
      </c>
      <c r="D2" s="12" t="s">
        <v>227</v>
      </c>
      <c r="E2" s="12" t="s">
        <v>228</v>
      </c>
    </row>
    <row r="3" spans="1:5">
      <c r="A3" s="11" t="s">
        <v>229</v>
      </c>
      <c r="B3" s="11" t="s">
        <v>230</v>
      </c>
      <c r="C3" s="11" t="s">
        <v>135</v>
      </c>
      <c r="D3" s="11" t="s">
        <v>231</v>
      </c>
      <c r="E3" s="11" t="s">
        <v>137</v>
      </c>
    </row>
    <row r="4" spans="1:5">
      <c r="A4" s="11" t="s">
        <v>230</v>
      </c>
      <c r="B4" s="11" t="s">
        <v>232</v>
      </c>
      <c r="C4" s="11" t="s">
        <v>121</v>
      </c>
      <c r="D4" s="11" t="s">
        <v>91</v>
      </c>
      <c r="E4" s="11" t="s">
        <v>123</v>
      </c>
    </row>
    <row r="5" spans="1:5">
      <c r="A5" s="11" t="s">
        <v>232</v>
      </c>
      <c r="B5" s="11" t="s">
        <v>233</v>
      </c>
      <c r="C5" s="11" t="s">
        <v>88</v>
      </c>
      <c r="D5" s="11" t="s">
        <v>234</v>
      </c>
      <c r="E5" s="11" t="s">
        <v>90</v>
      </c>
    </row>
    <row r="6" spans="1:5">
      <c r="A6" s="11" t="s">
        <v>233</v>
      </c>
      <c r="B6" s="11" t="s">
        <v>235</v>
      </c>
      <c r="C6" s="11" t="s">
        <v>236</v>
      </c>
      <c r="D6" s="11" t="s">
        <v>237</v>
      </c>
      <c r="E6" s="11" t="s">
        <v>80</v>
      </c>
    </row>
    <row r="7" spans="1:5">
      <c r="A7" s="11" t="s">
        <v>235</v>
      </c>
      <c r="B7" s="11" t="s">
        <v>238</v>
      </c>
      <c r="C7" s="11" t="s">
        <v>239</v>
      </c>
      <c r="D7" s="11" t="s">
        <v>240</v>
      </c>
      <c r="E7" s="11" t="s">
        <v>70</v>
      </c>
    </row>
    <row r="8" spans="1:5">
      <c r="A8" s="11" t="s">
        <v>241</v>
      </c>
      <c r="B8" s="11" t="s">
        <v>242</v>
      </c>
      <c r="C8" s="11" t="s">
        <v>146</v>
      </c>
      <c r="D8" s="11" t="s">
        <v>243</v>
      </c>
      <c r="E8" s="11" t="s">
        <v>152</v>
      </c>
    </row>
    <row r="9" spans="1:5">
      <c r="A9" s="11" t="s">
        <v>244</v>
      </c>
      <c r="B9" s="11" t="s">
        <v>245</v>
      </c>
      <c r="C9" s="11" t="s">
        <v>246</v>
      </c>
      <c r="D9" s="11" t="s">
        <v>45</v>
      </c>
      <c r="E9" s="11" t="s">
        <v>60</v>
      </c>
    </row>
    <row r="11" spans="1:5" ht="15" thickBot="1"/>
    <row r="12" spans="1:5">
      <c r="A12" s="22" t="s">
        <v>247</v>
      </c>
    </row>
    <row r="13" spans="1:5">
      <c r="A13" s="12" t="s">
        <v>248</v>
      </c>
      <c r="B13" s="12" t="s">
        <v>249</v>
      </c>
      <c r="C13" s="12" t="s">
        <v>250</v>
      </c>
      <c r="D13" s="12" t="s">
        <v>251</v>
      </c>
      <c r="E13" s="12" t="s">
        <v>252</v>
      </c>
    </row>
    <row r="14" spans="1:5">
      <c r="A14" s="11" t="s">
        <v>253</v>
      </c>
      <c r="B14" s="11" t="s">
        <v>254</v>
      </c>
      <c r="C14" s="11" t="s">
        <v>254</v>
      </c>
      <c r="D14" s="11" t="s">
        <v>254</v>
      </c>
      <c r="E14" s="11" t="s">
        <v>254</v>
      </c>
    </row>
    <row r="16" spans="1:5" ht="15" thickBot="1"/>
    <row r="17" spans="1:5">
      <c r="A17" s="23" t="s">
        <v>255</v>
      </c>
    </row>
    <row r="18" spans="1:5">
      <c r="A18" s="12" t="s">
        <v>248</v>
      </c>
      <c r="B18" s="12" t="s">
        <v>256</v>
      </c>
      <c r="C18" s="12" t="s">
        <v>257</v>
      </c>
      <c r="D18" s="12" t="s">
        <v>258</v>
      </c>
      <c r="E18" s="20"/>
    </row>
    <row r="19" spans="1:5">
      <c r="A19" s="11" t="s">
        <v>233</v>
      </c>
      <c r="B19" s="11" t="s">
        <v>236</v>
      </c>
      <c r="C19" s="11" t="s">
        <v>259</v>
      </c>
      <c r="D19" s="11" t="s">
        <v>68</v>
      </c>
      <c r="E19" s="14"/>
    </row>
    <row r="20" spans="1:5">
      <c r="A20" s="11" t="s">
        <v>260</v>
      </c>
      <c r="B20" s="11" t="s">
        <v>67</v>
      </c>
      <c r="C20" s="11" t="s">
        <v>261</v>
      </c>
      <c r="D20" s="11" t="s">
        <v>68</v>
      </c>
      <c r="E20" s="14"/>
    </row>
    <row r="21" spans="1:5">
      <c r="A21" s="11" t="s">
        <v>262</v>
      </c>
      <c r="B21" s="11" t="s">
        <v>146</v>
      </c>
      <c r="C21" s="11" t="s">
        <v>263</v>
      </c>
      <c r="D21" s="11" t="s">
        <v>147</v>
      </c>
      <c r="E21" s="14"/>
    </row>
    <row r="22" spans="1:5">
      <c r="A22" s="11" t="s">
        <v>264</v>
      </c>
      <c r="B22" s="11" t="s">
        <v>265</v>
      </c>
      <c r="C22" s="11" t="s">
        <v>263</v>
      </c>
      <c r="D22" s="11" t="s">
        <v>58</v>
      </c>
      <c r="E22" s="14"/>
    </row>
    <row r="23" spans="1:5">
      <c r="A23" s="11" t="s">
        <v>245</v>
      </c>
      <c r="B23" s="11" t="s">
        <v>42</v>
      </c>
      <c r="C23" s="11" t="s">
        <v>45</v>
      </c>
      <c r="D23" s="11" t="s">
        <v>43</v>
      </c>
      <c r="E23" s="14"/>
    </row>
    <row r="25" spans="1:5" ht="15" thickBot="1"/>
    <row r="26" spans="1:5">
      <c r="A26" s="24" t="s">
        <v>266</v>
      </c>
    </row>
    <row r="27" spans="1:5">
      <c r="A27" s="12" t="s">
        <v>248</v>
      </c>
      <c r="B27" s="12" t="s">
        <v>267</v>
      </c>
      <c r="C27" s="12" t="s">
        <v>268</v>
      </c>
      <c r="D27" s="20"/>
    </row>
    <row r="28" spans="1:5">
      <c r="A28" s="11" t="s">
        <v>269</v>
      </c>
      <c r="B28" s="11" t="s">
        <v>270</v>
      </c>
      <c r="C28" s="11" t="s">
        <v>271</v>
      </c>
      <c r="D28" s="14"/>
    </row>
    <row r="30" spans="1:5" ht="15" thickBot="1"/>
    <row r="31" spans="1:5">
      <c r="A31" s="25" t="s">
        <v>272</v>
      </c>
    </row>
    <row r="32" spans="1:5">
      <c r="A32" s="12" t="s">
        <v>248</v>
      </c>
      <c r="B32" s="12" t="s">
        <v>32</v>
      </c>
      <c r="C32" s="12" t="s">
        <v>273</v>
      </c>
      <c r="D32" s="20"/>
    </row>
    <row r="33" spans="1:4">
      <c r="A33" s="11" t="s">
        <v>230</v>
      </c>
      <c r="B33" s="11" t="s">
        <v>91</v>
      </c>
      <c r="C33" s="11" t="s">
        <v>274</v>
      </c>
      <c r="D33" s="14"/>
    </row>
    <row r="34" spans="1:4">
      <c r="A34" s="11" t="s">
        <v>232</v>
      </c>
      <c r="B34" s="11" t="s">
        <v>91</v>
      </c>
      <c r="C34" s="11" t="s">
        <v>274</v>
      </c>
      <c r="D34" s="14"/>
    </row>
    <row r="35" spans="1:4">
      <c r="A35" s="11" t="s">
        <v>233</v>
      </c>
      <c r="B35" s="11" t="s">
        <v>81</v>
      </c>
      <c r="C35" s="11" t="s">
        <v>275</v>
      </c>
      <c r="D35" s="14"/>
    </row>
    <row r="36" spans="1:4">
      <c r="A36" s="11" t="s">
        <v>235</v>
      </c>
      <c r="B36" s="11" t="s">
        <v>71</v>
      </c>
      <c r="C36" s="11" t="s">
        <v>276</v>
      </c>
      <c r="D36" s="14"/>
    </row>
    <row r="37" spans="1:4">
      <c r="A37" s="11" t="s">
        <v>277</v>
      </c>
      <c r="B37" s="11" t="s">
        <v>110</v>
      </c>
      <c r="C37" s="11" t="s">
        <v>274</v>
      </c>
      <c r="D37" s="14"/>
    </row>
    <row r="38" spans="1:4">
      <c r="A38" s="11" t="s">
        <v>278</v>
      </c>
      <c r="B38" s="11" t="s">
        <v>91</v>
      </c>
      <c r="C38" s="11" t="s">
        <v>279</v>
      </c>
      <c r="D38" s="14"/>
    </row>
    <row r="39" spans="1:4">
      <c r="A39" s="11" t="s">
        <v>280</v>
      </c>
      <c r="B39" s="11" t="s">
        <v>138</v>
      </c>
      <c r="C39" s="11" t="s">
        <v>281</v>
      </c>
      <c r="D39" s="14"/>
    </row>
    <row r="40" spans="1:4">
      <c r="A40" s="11" t="s">
        <v>282</v>
      </c>
      <c r="B40" s="11" t="s">
        <v>45</v>
      </c>
      <c r="C40" s="11" t="s">
        <v>283</v>
      </c>
      <c r="D40" s="14"/>
    </row>
    <row r="42" spans="1:4" ht="15" thickBot="1"/>
    <row r="43" spans="1:4">
      <c r="A43" s="26" t="s">
        <v>284</v>
      </c>
    </row>
    <row r="44" spans="1:4">
      <c r="A44" s="12" t="s">
        <v>285</v>
      </c>
      <c r="B44" s="12" t="s">
        <v>286</v>
      </c>
      <c r="C44" s="12" t="s">
        <v>287</v>
      </c>
      <c r="D44" s="20"/>
    </row>
    <row r="45" spans="1:4">
      <c r="A45" s="11" t="s">
        <v>229</v>
      </c>
      <c r="B45" s="11" t="s">
        <v>230</v>
      </c>
      <c r="C45" s="11" t="s">
        <v>288</v>
      </c>
      <c r="D45" s="14"/>
    </row>
    <row r="46" spans="1:4">
      <c r="A46" s="11" t="s">
        <v>230</v>
      </c>
      <c r="B46" s="11" t="s">
        <v>232</v>
      </c>
      <c r="C46" s="11" t="s">
        <v>289</v>
      </c>
      <c r="D46" s="14"/>
    </row>
    <row r="47" spans="1:4">
      <c r="A47" s="11" t="s">
        <v>232</v>
      </c>
      <c r="B47" s="11" t="s">
        <v>233</v>
      </c>
      <c r="C47" s="11" t="s">
        <v>290</v>
      </c>
      <c r="D47" s="14"/>
    </row>
    <row r="48" spans="1:4">
      <c r="A48" s="11" t="s">
        <v>233</v>
      </c>
      <c r="B48" s="11" t="s">
        <v>235</v>
      </c>
      <c r="C48" s="11" t="s">
        <v>291</v>
      </c>
      <c r="D48" s="14"/>
    </row>
    <row r="49" spans="1:4">
      <c r="A49" s="11" t="s">
        <v>235</v>
      </c>
      <c r="B49" s="11" t="s">
        <v>238</v>
      </c>
      <c r="C49" s="11" t="s">
        <v>292</v>
      </c>
      <c r="D49" s="14"/>
    </row>
    <row r="50" spans="1:4">
      <c r="A50" s="11" t="s">
        <v>241</v>
      </c>
      <c r="B50" s="11" t="s">
        <v>242</v>
      </c>
      <c r="C50" s="11" t="s">
        <v>293</v>
      </c>
      <c r="D50" s="14"/>
    </row>
    <row r="51" spans="1:4">
      <c r="A51" s="11" t="s">
        <v>294</v>
      </c>
      <c r="B51" s="11" t="s">
        <v>245</v>
      </c>
      <c r="C51" s="11" t="s">
        <v>295</v>
      </c>
      <c r="D51"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E5AD-FADB-405B-9601-C9A841E58FE8}">
  <dimension ref="A1:F13"/>
  <sheetViews>
    <sheetView workbookViewId="0">
      <selection activeCell="D13" sqref="D13"/>
    </sheetView>
  </sheetViews>
  <sheetFormatPr defaultRowHeight="14.45"/>
  <cols>
    <col min="1" max="1" width="41.85546875" bestFit="1" customWidth="1"/>
    <col min="2" max="2" width="46.42578125" bestFit="1" customWidth="1"/>
    <col min="3" max="3" width="44" bestFit="1" customWidth="1"/>
    <col min="4" max="4" width="39.5703125" customWidth="1"/>
    <col min="5" max="5" width="109.28515625" bestFit="1" customWidth="1"/>
    <col min="6" max="6" width="51.140625" bestFit="1" customWidth="1"/>
  </cols>
  <sheetData>
    <row r="1" spans="1:6">
      <c r="A1" s="16" t="s">
        <v>296</v>
      </c>
      <c r="B1" s="18" t="s">
        <v>297</v>
      </c>
      <c r="C1" s="18" t="s">
        <v>298</v>
      </c>
      <c r="D1" s="18" t="s">
        <v>299</v>
      </c>
      <c r="E1" s="18" t="s">
        <v>35</v>
      </c>
      <c r="F1" s="15" t="s">
        <v>300</v>
      </c>
    </row>
    <row r="2" spans="1:6">
      <c r="A2" s="17" t="s">
        <v>245</v>
      </c>
      <c r="B2" s="19" t="s">
        <v>193</v>
      </c>
      <c r="C2" s="19" t="s">
        <v>301</v>
      </c>
      <c r="D2" s="19" t="s">
        <v>302</v>
      </c>
      <c r="E2" s="19" t="s">
        <v>303</v>
      </c>
      <c r="F2" s="14" t="s">
        <v>304</v>
      </c>
    </row>
    <row r="3" spans="1:6" ht="15">
      <c r="A3" s="17" t="s">
        <v>305</v>
      </c>
      <c r="B3" s="19" t="s">
        <v>195</v>
      </c>
      <c r="C3" s="19" t="s">
        <v>306</v>
      </c>
      <c r="D3" s="19" t="s">
        <v>61</v>
      </c>
      <c r="E3" s="19" t="s">
        <v>307</v>
      </c>
      <c r="F3" s="14" t="s">
        <v>308</v>
      </c>
    </row>
    <row r="4" spans="1:6" ht="15">
      <c r="A4" s="17" t="s">
        <v>262</v>
      </c>
      <c r="B4" s="19" t="s">
        <v>222</v>
      </c>
      <c r="C4" s="19" t="s">
        <v>223</v>
      </c>
      <c r="D4" s="19" t="s">
        <v>149</v>
      </c>
      <c r="E4" s="19" t="s">
        <v>309</v>
      </c>
      <c r="F4" s="14" t="s">
        <v>310</v>
      </c>
    </row>
    <row r="5" spans="1:6" ht="15">
      <c r="A5" s="17" t="s">
        <v>260</v>
      </c>
      <c r="B5" s="19" t="s">
        <v>197</v>
      </c>
      <c r="C5" s="19" t="s">
        <v>199</v>
      </c>
      <c r="D5" s="19" t="s">
        <v>72</v>
      </c>
      <c r="E5" s="19" t="s">
        <v>311</v>
      </c>
      <c r="F5" s="14" t="s">
        <v>312</v>
      </c>
    </row>
    <row r="6" spans="1:6">
      <c r="A6" s="17" t="s">
        <v>233</v>
      </c>
      <c r="B6" s="19" t="s">
        <v>199</v>
      </c>
      <c r="C6" s="19" t="s">
        <v>313</v>
      </c>
      <c r="D6" s="19" t="s">
        <v>314</v>
      </c>
      <c r="E6" s="19" t="s">
        <v>315</v>
      </c>
      <c r="F6" s="14" t="s">
        <v>316</v>
      </c>
    </row>
    <row r="7" spans="1:6">
      <c r="A7" s="17" t="s">
        <v>317</v>
      </c>
      <c r="B7" s="19" t="s">
        <v>223</v>
      </c>
      <c r="C7" s="19" t="s">
        <v>318</v>
      </c>
      <c r="D7" s="19"/>
      <c r="E7" s="19" t="s">
        <v>319</v>
      </c>
      <c r="F7" s="14" t="s">
        <v>320</v>
      </c>
    </row>
    <row r="8" spans="1:6">
      <c r="A8" s="17" t="s">
        <v>232</v>
      </c>
      <c r="B8" s="19" t="s">
        <v>321</v>
      </c>
      <c r="C8" s="19" t="s">
        <v>322</v>
      </c>
      <c r="D8" s="19"/>
      <c r="E8" s="19" t="s">
        <v>323</v>
      </c>
      <c r="F8" s="14" t="s">
        <v>324</v>
      </c>
    </row>
    <row r="9" spans="1:6" ht="15">
      <c r="A9" s="17" t="s">
        <v>325</v>
      </c>
      <c r="B9" s="19" t="s">
        <v>208</v>
      </c>
      <c r="C9" s="19" t="s">
        <v>326</v>
      </c>
      <c r="D9" s="19" t="s">
        <v>124</v>
      </c>
      <c r="E9" s="19" t="s">
        <v>327</v>
      </c>
      <c r="F9" s="14" t="s">
        <v>328</v>
      </c>
    </row>
    <row r="10" spans="1:6">
      <c r="A10" s="17" t="s">
        <v>329</v>
      </c>
      <c r="B10" s="19" t="s">
        <v>210</v>
      </c>
      <c r="C10" s="19" t="s">
        <v>326</v>
      </c>
      <c r="D10" s="19"/>
      <c r="E10" s="19" t="s">
        <v>330</v>
      </c>
      <c r="F10" s="14" t="s">
        <v>328</v>
      </c>
    </row>
    <row r="11" spans="1:6">
      <c r="A11" s="17" t="s">
        <v>331</v>
      </c>
      <c r="B11" s="19" t="s">
        <v>322</v>
      </c>
      <c r="C11" s="19" t="s">
        <v>332</v>
      </c>
      <c r="D11" s="19"/>
      <c r="E11" s="19" t="s">
        <v>333</v>
      </c>
      <c r="F11" s="14" t="s">
        <v>334</v>
      </c>
    </row>
    <row r="12" spans="1:6">
      <c r="A12" s="17" t="s">
        <v>335</v>
      </c>
      <c r="B12" s="19" t="s">
        <v>332</v>
      </c>
      <c r="C12" s="19" t="s">
        <v>336</v>
      </c>
      <c r="D12" s="19"/>
      <c r="E12" s="19" t="s">
        <v>337</v>
      </c>
      <c r="F12" s="14" t="s">
        <v>334</v>
      </c>
    </row>
    <row r="13" spans="1:6">
      <c r="A13" s="17" t="s">
        <v>338</v>
      </c>
      <c r="B13" s="19" t="s">
        <v>339</v>
      </c>
      <c r="C13" s="19" t="s">
        <v>340</v>
      </c>
      <c r="D13" s="19"/>
      <c r="E13" s="19" t="s">
        <v>341</v>
      </c>
      <c r="F13" s="14"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Lopez</dc:creator>
  <cp:keywords/>
  <dc:description/>
  <cp:lastModifiedBy>Balekkal, Kishan Sanjay Kumar</cp:lastModifiedBy>
  <cp:revision/>
  <dcterms:created xsi:type="dcterms:W3CDTF">2025-11-20T17:34:45Z</dcterms:created>
  <dcterms:modified xsi:type="dcterms:W3CDTF">2026-04-30T21:11:10Z</dcterms:modified>
  <cp:category/>
  <cp:contentStatus/>
</cp:coreProperties>
</file>