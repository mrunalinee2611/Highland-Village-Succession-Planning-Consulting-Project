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shansb/Desktop/Documents/Org Research &amp; consulting/Presentation/Final/"/>
    </mc:Choice>
  </mc:AlternateContent>
  <xr:revisionPtr revIDLastSave="0" documentId="13_ncr:1_{8F750941-12F7-D946-8E60-B961F6374E2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Current Workforce " sheetId="1" r:id="rId1"/>
    <sheet name="PIVOTS" sheetId="2" state="hidden" r:id="rId2"/>
    <sheet name="Position Requirements" sheetId="5" r:id="rId3"/>
    <sheet name="Leadership Readiness" sheetId="3" r:id="rId4"/>
    <sheet name="Promotional Structure" sheetId="7" r:id="rId5"/>
    <sheet name="Potential Successors" sheetId="4" r:id="rId6"/>
  </sheets>
  <calcPr calcId="191028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2" i="1"/>
  <c r="D11" i="1"/>
  <c r="D10" i="1"/>
  <c r="D9" i="1"/>
  <c r="D8" i="1"/>
  <c r="D7" i="1"/>
  <c r="D6" i="1"/>
  <c r="D5" i="1"/>
  <c r="D4" i="1"/>
  <c r="D3" i="1"/>
  <c r="N1" i="1"/>
</calcChain>
</file>

<file path=xl/sharedStrings.xml><?xml version="1.0" encoding="utf-8"?>
<sst xmlns="http://schemas.openxmlformats.org/spreadsheetml/2006/main" count="1243" uniqueCount="300">
  <si>
    <t>Department:  Fire</t>
  </si>
  <si>
    <t>24 Full Time Employees</t>
  </si>
  <si>
    <t>Employee Name</t>
  </si>
  <si>
    <t>Position Title</t>
  </si>
  <si>
    <t>Hire Date</t>
  </si>
  <si>
    <t>Years with Organization</t>
  </si>
  <si>
    <t>Years in Current Role</t>
  </si>
  <si>
    <t>Risk of Vacancy (Low/Medium/High)</t>
  </si>
  <si>
    <t>Please provide the rationale for the 'Risk of Vacancy' listed in 'Column F' for each employee (e.g:  retirement, external market demand, or a niche role that is difficult to backfill, certifications or any other).</t>
  </si>
  <si>
    <t>Impact if Vacant (Low/Medium/High)</t>
  </si>
  <si>
    <t>Retirement Eligibility or Anticipated Resignation Date</t>
  </si>
  <si>
    <t>Determined Essential to meet state/local laws/Critical role responsibilities (Y/N)</t>
  </si>
  <si>
    <t>Who provides backup coverage for essential employees (if any)</t>
  </si>
  <si>
    <t>Successor Identified (Y/N)</t>
  </si>
  <si>
    <t>Potential Successor Name</t>
  </si>
  <si>
    <t>Succession Readiness (Ready Now / 1-2 yrs / 3-5 yrs)</t>
  </si>
  <si>
    <t>Meets Minimum Qualifications for Promotion (Y/N)</t>
  </si>
  <si>
    <t>Performance Rating (Last Review)</t>
  </si>
  <si>
    <t>Promotion Readiness (Ready Now / Developing / Not Ready)</t>
  </si>
  <si>
    <t>Potential eligible successor: Please provide eligible successor name against each position title
 (Tentative/possible)</t>
  </si>
  <si>
    <t xml:space="preserve">Please provide Potential Future successor name against each position title: Currently ineligible but targeted for future eligibility following specific qualification/experience/training etc.
(Tentative/Possible)
</t>
  </si>
  <si>
    <t>Development Needs</t>
  </si>
  <si>
    <t>Training / Education / Skills Needed for Promotion</t>
  </si>
  <si>
    <t>Current Certifications: List any ongoing certifications and also indicate if they are City-sponsored or self-funded.</t>
  </si>
  <si>
    <t>Do you have any recommendations for management regarding the sponsorship of certifications or training required for an employee's career progression or promotion?</t>
  </si>
  <si>
    <t>Training Priority (High/Medium/Low)</t>
  </si>
  <si>
    <t>Training Type Needed (Leadership/Technical/Compliance/Cross-training)</t>
  </si>
  <si>
    <t>Training Status (Not Started/In Progress/Completed)</t>
  </si>
  <si>
    <t>Planned Completion Date</t>
  </si>
  <si>
    <t>Actual Completion Date</t>
  </si>
  <si>
    <t>Typical Years of experience</t>
  </si>
  <si>
    <t>Education / Degree Requirement</t>
  </si>
  <si>
    <t>Notes (Education / Degree Requirement)</t>
  </si>
  <si>
    <t>Certifications/Skills Known before Meetings/Interviews</t>
  </si>
  <si>
    <t>Certification (Additional requirement)</t>
  </si>
  <si>
    <t>Next Target Position</t>
  </si>
  <si>
    <t>Written Exam</t>
  </si>
  <si>
    <t>Practical Evaluation</t>
  </si>
  <si>
    <t>Assesment Center</t>
  </si>
  <si>
    <t>Interview Panel</t>
  </si>
  <si>
    <t>Test Type</t>
  </si>
  <si>
    <t>GREEN, RICKIE S</t>
  </si>
  <si>
    <t>FIRE CHIEF</t>
  </si>
  <si>
    <t>1</t>
  </si>
  <si>
    <t>Medium</t>
  </si>
  <si>
    <t>The average tenure of a Fire Chief is approximately 5 years. No one is currently qualified or interested.</t>
  </si>
  <si>
    <t>High</t>
  </si>
  <si>
    <t>10 + years</t>
  </si>
  <si>
    <t>Y</t>
  </si>
  <si>
    <t>Kevin Gosselin, Asst. Chief</t>
  </si>
  <si>
    <t>N/Chief Green, Fire Chief</t>
  </si>
  <si>
    <t>N/A</t>
  </si>
  <si>
    <t>Outside Hire</t>
  </si>
  <si>
    <t>Exceeds</t>
  </si>
  <si>
    <t> </t>
  </si>
  <si>
    <t>None</t>
  </si>
  <si>
    <t>TCFP certifications, Paramedic</t>
  </si>
  <si>
    <t>We recently increased City reimbursement amount for college tuition and this is a positive step.</t>
  </si>
  <si>
    <t>10+ years fire service leadership experience</t>
  </si>
  <si>
    <t>Bachelor’s degree preferred (Fire Science, Emergency Management, Public Administration)</t>
  </si>
  <si>
    <t>Senior administrative leadership role</t>
  </si>
  <si>
    <t>Master Firefighter, Fire Officer III/IV, ICS-300, ICS-400, Strategic Planning, Department Operations Management</t>
  </si>
  <si>
    <t>Yes</t>
  </si>
  <si>
    <t>GOSSELIN, KEVIN J</t>
  </si>
  <si>
    <t>ASST FIRE CHIEF</t>
  </si>
  <si>
    <t>Chief Gosselin's goal is to work approximately 6-8 years until retirement. No one is currently interested in his position. Most likely a replacement will come from the outside.</t>
  </si>
  <si>
    <t>Eligible for retirement</t>
  </si>
  <si>
    <t>Chief Green, Fire Chief</t>
  </si>
  <si>
    <t>N</t>
  </si>
  <si>
    <t>NA</t>
  </si>
  <si>
    <t>Not Ready</t>
  </si>
  <si>
    <t xml:space="preserve">Fire Officer II, III, IV; </t>
  </si>
  <si>
    <t>Technical</t>
  </si>
  <si>
    <t>In Progress</t>
  </si>
  <si>
    <t>8–10 years fire service experience</t>
  </si>
  <si>
    <t>Associate or Bachelor’s degree preferred</t>
  </si>
  <si>
    <t>Supervises operations, planning, leadership experience and personnel</t>
  </si>
  <si>
    <t>Fire Officer III, Fire Instructor II, ICS-300, ICS-400, Leadership Training, Personnel Supervision</t>
  </si>
  <si>
    <t>Department management experience</t>
  </si>
  <si>
    <t>No</t>
  </si>
  <si>
    <t>Chief + City Leadership</t>
  </si>
  <si>
    <t>SORSBY, TONY J</t>
  </si>
  <si>
    <t>FIRE CAPTAIN</t>
  </si>
  <si>
    <t>Approaching retirement eligibility.</t>
  </si>
  <si>
    <t>Unknown</t>
  </si>
  <si>
    <t>Green/Gosselin</t>
  </si>
  <si>
    <t>Ready</t>
  </si>
  <si>
    <t>Possible</t>
  </si>
  <si>
    <t>Carlson, Willoughby, Mabry, Dukes, Moore</t>
  </si>
  <si>
    <t>Nothing needed</t>
  </si>
  <si>
    <t>We recently increased City reimbursement amount for college tuition and this is a positive step. Increased overtime funding to ensure personnel are able to attend when we are short personnel and have to meet minimum staffing requirements.</t>
  </si>
  <si>
    <t>Low</t>
  </si>
  <si>
    <t>5–8 years fire service experience</t>
  </si>
  <si>
    <t>Associate degree or 60 college credit hours preferred</t>
  </si>
  <si>
    <t>Requires Fire Officer certifications and leadership experience</t>
  </si>
  <si>
    <t>Fire Officer I/II, Driver Operator Cert, Fire Instructor I, ICS-200/300, Company Officer Task Book</t>
  </si>
  <si>
    <t>Leadership experience</t>
  </si>
  <si>
    <t>Chief + Command Staff</t>
  </si>
  <si>
    <t>Written Exam, Assesment Center, Chief Interview</t>
  </si>
  <si>
    <t>ORTMEIER, DANIEL D</t>
  </si>
  <si>
    <t>low</t>
  </si>
  <si>
    <t>I don't believe he is considering retirement.</t>
  </si>
  <si>
    <t>Fire Officer III, Instructor III</t>
  </si>
  <si>
    <t>Not Started</t>
  </si>
  <si>
    <t>MIDDLETON, JARED L</t>
  </si>
  <si>
    <t>Eligible for retirement within 1-2 years</t>
  </si>
  <si>
    <t>HARPER, MEL A</t>
  </si>
  <si>
    <t>FIRE DRIVER/OPERATOR</t>
  </si>
  <si>
    <t>Set to retire in May 2026</t>
  </si>
  <si>
    <t>Eligible for retirement within 3-4 years</t>
  </si>
  <si>
    <t>Step up FFs</t>
  </si>
  <si>
    <t>Valdelamar, Wallace</t>
  </si>
  <si>
    <t>3–5 years fire service experience</t>
  </si>
  <si>
    <t>High school diploma or GED</t>
  </si>
  <si>
    <t>Requires Driver Operator / Pump certification</t>
  </si>
  <si>
    <t>Driver Operator Cert, Pump Operations, Apparatus Operations, Firefighter II, ICS-100/200</t>
  </si>
  <si>
    <t>Company Officer Task Book</t>
  </si>
  <si>
    <t>Chief Panel</t>
  </si>
  <si>
    <t>Written Exam, Practical Evaluation, Tactical Assesment</t>
  </si>
  <si>
    <t>MOORE, JUSTIN E</t>
  </si>
  <si>
    <t>external market demand</t>
  </si>
  <si>
    <t>Fire Officer II</t>
  </si>
  <si>
    <t>DUKES, ROBERT E</t>
  </si>
  <si>
    <t>MABRY, JOSHUA L</t>
  </si>
  <si>
    <t>WILLOUGHBY, JUSTIN D</t>
  </si>
  <si>
    <t>CARLSON, JARED  M</t>
  </si>
  <si>
    <t>Fire Officer I, II and Intermediate</t>
  </si>
  <si>
    <t xml:space="preserve">VALDELAMAR, TONY </t>
  </si>
  <si>
    <t xml:space="preserve">FF/PARAMEDIC </t>
  </si>
  <si>
    <t>0–3 years experience (entry level)</t>
  </si>
  <si>
    <t>Must hold EMT or Paramedic certification</t>
  </si>
  <si>
    <t>Basic Structural Firefighter, Firefighter I/II, EMT or Paramedic License, HazMat Awareness/Operations, ICS-100/200</t>
  </si>
  <si>
    <t>Task Book Phase I &amp; II</t>
  </si>
  <si>
    <t>HENDERSON, BENJAMIN R</t>
  </si>
  <si>
    <t>Driver/Operator</t>
  </si>
  <si>
    <t>CHRISTIAN, SHILO T</t>
  </si>
  <si>
    <t>Fire Officer I</t>
  </si>
  <si>
    <t xml:space="preserve">WALLACE, AUSTIN </t>
  </si>
  <si>
    <t>Fire Officer I, Instructor I</t>
  </si>
  <si>
    <t>MOORE , ADA  A</t>
  </si>
  <si>
    <t>Fire Officer I, Instructor I, Driver/Operator</t>
  </si>
  <si>
    <t>HARRIS, ABIGAIL E</t>
  </si>
  <si>
    <t>THOMAS, NATHAN  L</t>
  </si>
  <si>
    <t>VILLARREAL, CHASE M</t>
  </si>
  <si>
    <t xml:space="preserve">KLOSKI, MATTHEW  </t>
  </si>
  <si>
    <t xml:space="preserve">JOHANNSEN, CALEB </t>
  </si>
  <si>
    <t xml:space="preserve">FERLAUTO, JOSEPH </t>
  </si>
  <si>
    <t xml:space="preserve">SEIDL, CHARLENE </t>
  </si>
  <si>
    <t>FIRE SUPPORT SPEC</t>
  </si>
  <si>
    <t>external market demand/retirement/niche role that is difficult to backfill</t>
  </si>
  <si>
    <t>3–5 years administrative experience</t>
  </si>
  <si>
    <t>Associate or Bachelor’s degree preferred (Administration, Public Management)</t>
  </si>
  <si>
    <t>Supports department operations and records management</t>
  </si>
  <si>
    <t>Administrative Systems Training, Records Management, Department Reporting Systems, Data Tracking</t>
  </si>
  <si>
    <t>IMPACT IF VACANT</t>
  </si>
  <si>
    <t>Count of Employee Name</t>
  </si>
  <si>
    <t>Column Labels</t>
  </si>
  <si>
    <t>Row Labels</t>
  </si>
  <si>
    <t>(blank)</t>
  </si>
  <si>
    <t>Grand Total</t>
  </si>
  <si>
    <t>Paramedics run the highest risk of vacancy but their vacancy impact is medium, followed by Fire Driver/Operator.</t>
  </si>
  <si>
    <t>Fire Chief and Asst. Fire Chief run a medium risk of vacancy BUT their vacancy impact is high</t>
  </si>
  <si>
    <t>RISK OF VACANCY</t>
  </si>
  <si>
    <t>RETIREMENT ELIGIBILITY/ANTICIPATED RESIGNATION</t>
  </si>
  <si>
    <t>=</t>
  </si>
  <si>
    <t>Top 3 Most Immediate Retirements</t>
  </si>
  <si>
    <t>Unknown/Eligible 2027</t>
  </si>
  <si>
    <t>Unknown/Eligible 2028</t>
  </si>
  <si>
    <t>Unknown/Eligible 2030</t>
  </si>
  <si>
    <t>CRITICAL ROLES FOR STATE LAW REQUIREMENTS</t>
  </si>
  <si>
    <t>Asst. Fire Chief, Fire Captain, Fire Chief, 
and Fire Support Spec deemed critical roles for state law requirements</t>
  </si>
  <si>
    <t>Position</t>
  </si>
  <si>
    <t>Typical Years of Experience Required</t>
  </si>
  <si>
    <t>Notes</t>
  </si>
  <si>
    <t>Fire Chief</t>
  </si>
  <si>
    <t>Assistant Fire Chief</t>
  </si>
  <si>
    <t>Supervises operations, planning, and personnel</t>
  </si>
  <si>
    <t>Fire Captain</t>
  </si>
  <si>
    <t>Driver Operator</t>
  </si>
  <si>
    <t>Firefighter / Paramedic</t>
  </si>
  <si>
    <t>Fire Operations Support Specialist</t>
  </si>
  <si>
    <t>Employee ID</t>
  </si>
  <si>
    <t>Current Position</t>
  </si>
  <si>
    <t>Risk of Vacancy</t>
  </si>
  <si>
    <t>Impact if Vacant</t>
  </si>
  <si>
    <t>Certifications / Skills Known Before Meetings/Interviews</t>
  </si>
  <si>
    <t>Readiness Level</t>
  </si>
  <si>
    <t xml:space="preserve">Possible Retirement </t>
  </si>
  <si>
    <t>Types of leadership training</t>
  </si>
  <si>
    <t>001</t>
  </si>
  <si>
    <t>10+ years</t>
  </si>
  <si>
    <t>https://www.governmentresource.com/leadership-and-professional-development/#</t>
  </si>
  <si>
    <t>002</t>
  </si>
  <si>
    <t>Ready in 1–3 years</t>
  </si>
  <si>
    <t>2034-05-01</t>
  </si>
  <si>
    <t>https://www.pdaleadership.com/index.php#programs</t>
  </si>
  <si>
    <t>003</t>
  </si>
  <si>
    <t>Eligible 2028</t>
  </si>
  <si>
    <t>https://www.lewisvillechamber.org/leadership-lewisville/</t>
  </si>
  <si>
    <t>004</t>
  </si>
  <si>
    <t>https://learning.nrpa.org/in-person-learning</t>
  </si>
  <si>
    <t>005</t>
  </si>
  <si>
    <t>Eligible 2027</t>
  </si>
  <si>
    <t>https://teex.org/program/leadership-development-fire-officer/</t>
  </si>
  <si>
    <t>006</t>
  </si>
  <si>
    <t>Ready in 3–5 years</t>
  </si>
  <si>
    <t>007</t>
  </si>
  <si>
    <t>008</t>
  </si>
  <si>
    <t>Eligible 2030</t>
  </si>
  <si>
    <t>009</t>
  </si>
  <si>
    <t>010</t>
  </si>
  <si>
    <t>011</t>
  </si>
  <si>
    <t>FF/PARAMEDIC</t>
  </si>
  <si>
    <t>012</t>
  </si>
  <si>
    <t>Developing (5+ years)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</si>
  <si>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</si>
  <si>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</si>
  <si>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</si>
  <si>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</si>
  <si>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</si>
  <si>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</si>
  <si>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</si>
  <si>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</si>
  <si>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</si>
  <si>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</si>
  <si>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</si>
  <si>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</si>
  <si>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Senior Administrative Support / Cross‑trained Support</t>
  </si>
  <si>
    <t>Developing</t>
  </si>
  <si>
    <t>Promotion Requirements</t>
  </si>
  <si>
    <t>Promotion Target</t>
  </si>
  <si>
    <t>Minimum Experience</t>
  </si>
  <si>
    <t>Certifications Needed</t>
  </si>
  <si>
    <t>Additional Requirements</t>
  </si>
  <si>
    <t>2 years</t>
  </si>
  <si>
    <t>Driver Operator Certification</t>
  </si>
  <si>
    <t>1 year as Driver</t>
  </si>
  <si>
    <t>Several years leadership</t>
  </si>
  <si>
    <t>Fire Officer II / III</t>
  </si>
  <si>
    <t>Senior leadership</t>
  </si>
  <si>
    <t>Advanced Command Training</t>
  </si>
  <si>
    <t>Promotion Process</t>
  </si>
  <si>
    <t>Assessment Center</t>
  </si>
  <si>
    <t>Promotion Eligibility</t>
  </si>
  <si>
    <t>Minimum Years</t>
  </si>
  <si>
    <t>Required Certifications</t>
  </si>
  <si>
    <t>Education</t>
  </si>
  <si>
    <t>High School/GED</t>
  </si>
  <si>
    <t>~60 College Credits / Associate Preferred</t>
  </si>
  <si>
    <t>Multiple years leadership</t>
  </si>
  <si>
    <t>Fire Officer III</t>
  </si>
  <si>
    <t>Leadership Experience Required</t>
  </si>
  <si>
    <t>Promotional Testing Structure</t>
  </si>
  <si>
    <t>Typical Passing Score</t>
  </si>
  <si>
    <t>80%</t>
  </si>
  <si>
    <t>Tactical Assessment</t>
  </si>
  <si>
    <t>Chief Interview</t>
  </si>
  <si>
    <t>Panel Scoring</t>
  </si>
  <si>
    <t>Task Book Requirements</t>
  </si>
  <si>
    <t>Task Book</t>
  </si>
  <si>
    <t>Phase</t>
  </si>
  <si>
    <t>Driver Operator Task Book</t>
  </si>
  <si>
    <t>Phase I</t>
  </si>
  <si>
    <t>Phase II</t>
  </si>
  <si>
    <t>Promotion Pipeline</t>
  </si>
  <si>
    <t>Current Role</t>
  </si>
  <si>
    <t>Next Role</t>
  </si>
  <si>
    <t>Experience Needed</t>
  </si>
  <si>
    <t>1+ year</t>
  </si>
  <si>
    <t>Advanced Leadership Certifications</t>
  </si>
  <si>
    <t>Senior leadership experience</t>
  </si>
  <si>
    <t>Position Level</t>
  </si>
  <si>
    <t>Current Employees</t>
  </si>
  <si>
    <t>Potential Successors</t>
  </si>
  <si>
    <t>Reason Why They Are Potential Successors</t>
  </si>
  <si>
    <t>002, 003, 005</t>
  </si>
  <si>
    <t>Assistant Chief already performs leadership duties and department coordination; Captains have strong operational and leadership experience</t>
  </si>
  <si>
    <t>Assistant Chief is primary successor; Captains are secondary options</t>
  </si>
  <si>
    <t>003, 004, 005</t>
  </si>
  <si>
    <t>Captains supervise shifts, manage incidents, and already handle leadership responsibilities</t>
  </si>
  <si>
    <t>Captains are next in leadership pipeline</t>
  </si>
  <si>
    <t>006, 007, 008, 009, 010, 011</t>
  </si>
  <si>
    <t>Driver Operators have apparatus expertise, operational leadership, and often complete company officer task books</t>
  </si>
  <si>
    <t>Driver Operators are main promotion candidates</t>
  </si>
  <si>
    <t>012, 013, 014, 015, 016, 017</t>
  </si>
  <si>
    <t>Experienced Firefighter/Paramedics understand operations and can train on pump and apparatus systems</t>
  </si>
  <si>
    <t>Senior FF/Paramedics are typical candidates</t>
  </si>
  <si>
    <t>012–023</t>
  </si>
  <si>
    <t>Future hires / developing firefighters</t>
  </si>
  <si>
    <t>Entry-level personnel who will gain experience and certifications before promotion</t>
  </si>
  <si>
    <t>Operational workforce pipeline</t>
  </si>
  <si>
    <t>Fire Support Specialist</t>
  </si>
  <si>
    <t>Cross-trained administrative backup</t>
  </si>
  <si>
    <t>Administrative systems and records knowledge could be transferred to a trained backup employee</t>
  </si>
  <si>
    <t>Single incumbent role; recommend backup training</t>
  </si>
  <si>
    <t>NOTE: POTENTIAL SUCCESSORS AS OF NOW BASED ON DATA BEFORE MEETINGS</t>
  </si>
  <si>
    <t>SORSBY, TONY J, outside hire?</t>
  </si>
  <si>
    <t>Sorsby would not be interested - look at drivers &amp; Firefighters</t>
  </si>
  <si>
    <t>HARPER, MEL A, DUKES, ROBERT E, MABRY, JOSHUA L</t>
  </si>
  <si>
    <t>NOTE: Potential Succesors after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</si>
</sst>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Microsoft Sans Serif"/>
      <family val="2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B4EA"/>
        <bgColor indexed="64"/>
      </patternFill>
    </fill>
    <fill>
      <patternFill patternType="solid">
        <fgColor rgb="FFFCB2B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top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horizontal="left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164" fontId="3" fillId="0" borderId="2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/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right" vertical="top"/>
    </xf>
    <xf numFmtId="0" fontId="1" fillId="7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0" fontId="0" fillId="0" borderId="4" xfId="0" applyBorder="1"/>
    <xf numFmtId="0" fontId="1" fillId="0" borderId="7" xfId="0" applyFont="1" applyBorder="1" applyAlignment="1">
      <alignment horizontal="center"/>
    </xf>
    <xf numFmtId="0" fontId="1" fillId="0" borderId="4" xfId="0" applyFont="1" applyBorder="1"/>
    <xf numFmtId="0" fontId="6" fillId="0" borderId="0" xfId="0" applyFont="1"/>
    <xf numFmtId="0" fontId="6" fillId="0" borderId="7" xfId="0" applyFont="1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7" xfId="0" applyBorder="1"/>
    <xf numFmtId="0" fontId="0" fillId="0" borderId="13" xfId="0" applyBorder="1"/>
    <xf numFmtId="0" fontId="1" fillId="0" borderId="7" xfId="0" applyFont="1" applyBorder="1"/>
    <xf numFmtId="0" fontId="3" fillId="0" borderId="2" xfId="0" applyFont="1" applyBorder="1"/>
    <xf numFmtId="0" fontId="3" fillId="10" borderId="1" xfId="0" applyFont="1" applyFill="1" applyBorder="1" applyAlignment="1">
      <alignment horizontal="left" vertical="top"/>
    </xf>
    <xf numFmtId="0" fontId="3" fillId="10" borderId="2" xfId="0" applyFont="1" applyFill="1" applyBorder="1"/>
    <xf numFmtId="164" fontId="3" fillId="10" borderId="1" xfId="0" applyNumberFormat="1" applyFont="1" applyFill="1" applyBorder="1" applyAlignment="1">
      <alignment horizontal="center" vertical="top"/>
    </xf>
    <xf numFmtId="2" fontId="3" fillId="10" borderId="1" xfId="0" applyNumberFormat="1" applyFont="1" applyFill="1" applyBorder="1" applyAlignment="1">
      <alignment horizontal="right" vertical="top"/>
    </xf>
    <xf numFmtId="1" fontId="3" fillId="10" borderId="1" xfId="0" applyNumberFormat="1" applyFont="1" applyFill="1" applyBorder="1" applyAlignment="1">
      <alignment horizontal="center" vertical="top"/>
    </xf>
    <xf numFmtId="0" fontId="0" fillId="10" borderId="1" xfId="0" applyFill="1" applyBorder="1"/>
    <xf numFmtId="0" fontId="0" fillId="10" borderId="9" xfId="0" applyFill="1" applyBorder="1"/>
    <xf numFmtId="0" fontId="0" fillId="10" borderId="0" xfId="0" applyFill="1"/>
    <xf numFmtId="0" fontId="0" fillId="10" borderId="8" xfId="0" applyFill="1" applyBorder="1"/>
    <xf numFmtId="0" fontId="6" fillId="10" borderId="7" xfId="0" applyFont="1" applyFill="1" applyBorder="1"/>
    <xf numFmtId="0" fontId="0" fillId="10" borderId="7" xfId="0" applyFill="1" applyBorder="1"/>
    <xf numFmtId="0" fontId="0" fillId="10" borderId="4" xfId="0" applyFill="1" applyBorder="1"/>
    <xf numFmtId="0" fontId="1" fillId="0" borderId="9" xfId="0" applyFont="1" applyBorder="1"/>
    <xf numFmtId="0" fontId="0" fillId="0" borderId="12" xfId="0" applyBorder="1"/>
    <xf numFmtId="0" fontId="6" fillId="0" borderId="11" xfId="0" applyFont="1" applyBorder="1"/>
    <xf numFmtId="0" fontId="6" fillId="10" borderId="11" xfId="0" applyFont="1" applyFill="1" applyBorder="1"/>
    <xf numFmtId="0" fontId="1" fillId="0" borderId="14" xfId="0" applyFont="1" applyBorder="1"/>
    <xf numFmtId="0" fontId="0" fillId="0" borderId="14" xfId="0" applyBorder="1"/>
    <xf numFmtId="0" fontId="0" fillId="10" borderId="14" xfId="0" applyFill="1" applyBorder="1"/>
    <xf numFmtId="0" fontId="1" fillId="0" borderId="15" xfId="0" applyFont="1" applyBorder="1"/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8" fillId="0" borderId="0" xfId="0" applyFont="1"/>
    <xf numFmtId="0" fontId="7" fillId="0" borderId="0" xfId="1"/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1" fillId="11" borderId="1" xfId="0" applyFont="1" applyFill="1" applyBorder="1"/>
    <xf numFmtId="0" fontId="1" fillId="9" borderId="9" xfId="0" applyFont="1" applyFill="1" applyBorder="1"/>
    <xf numFmtId="0" fontId="1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1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1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CB2BD"/>
      <color rgb="FFE2B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tran, Jacqueline" refreshedDate="46087.86411516204" createdVersion="8" refreshedVersion="8" minRefreshableVersion="3" recordCount="25" xr:uid="{6B72DB3F-383E-4428-9411-30564910E7B2}">
  <cacheSource type="worksheet">
    <worksheetSource ref="A2:K27" sheet="Current Workforce "/>
  </cacheSource>
  <cacheFields count="10">
    <cacheField name="Employee Name" numFmtId="0">
      <sharedItems containsBlank="1"/>
    </cacheField>
    <cacheField name="Position Title" numFmtId="0">
      <sharedItems count="6">
        <s v="FIRE CHIEF"/>
        <s v="ASST FIRE CHIEF"/>
        <s v="FIRE CAPTAIN"/>
        <s v="FIRE DRIVER/OPERATOR"/>
        <s v="FF/PARAMEDIC "/>
        <s v="FIRE SUPPORT SPEC"/>
      </sharedItems>
    </cacheField>
    <cacheField name="Hire Date" numFmtId="164">
      <sharedItems containsNonDate="0" containsDate="1" containsString="0" containsBlank="1" minDate="2006-10-09T00:00:00" maxDate="2026-01-06T00:00:00"/>
    </cacheField>
    <cacheField name="Years with Organization" numFmtId="0">
      <sharedItems containsNonDate="0" containsString="0" containsBlank="1" count="1">
        <m/>
      </sharedItems>
    </cacheField>
    <cacheField name="Years in Current Role" numFmtId="0">
      <sharedItems containsBlank="1" containsMixedTypes="1" containsNumber="1" containsInteger="1" minValue="0" maxValue="13" count="12">
        <s v="1"/>
        <n v="1"/>
        <n v="13"/>
        <n v="9"/>
        <n v="12"/>
        <n v="3"/>
        <n v="11"/>
        <n v="4"/>
        <m/>
        <n v="2"/>
        <n v="0"/>
        <n v="7"/>
      </sharedItems>
    </cacheField>
    <cacheField name="Risk of Vacancy (Low/Medium/High)" numFmtId="164">
      <sharedItems containsBlank="1" count="3">
        <s v="Medium"/>
        <s v="High"/>
        <m/>
      </sharedItems>
    </cacheField>
    <cacheField name="Impact if Vacant (Low/Medium/High)" numFmtId="164">
      <sharedItems containsBlank="1" count="3">
        <s v="High"/>
        <s v="Medium"/>
        <m/>
      </sharedItems>
    </cacheField>
    <cacheField name="Retirement Eligibility or Anticipated Resignation Date" numFmtId="0">
      <sharedItems containsDate="1" containsBlank="1" containsMixedTypes="1" minDate="2034-05-01T00:00:00" maxDate="2034-05-02T00:00:00" count="7">
        <s v="10 + years"/>
        <d v="2034-05-01T00:00:00"/>
        <s v="Unknown/Eligible 2028"/>
        <s v="Unknown"/>
        <s v="Unknown/Eligible 2027"/>
        <s v="Unknown/Eligible 2030"/>
        <m/>
      </sharedItems>
    </cacheField>
    <cacheField name="Determined Essential to meet state/local laws/Critical role responsibilities (Y/N)" numFmtId="0">
      <sharedItems containsBlank="1" count="3">
        <s v="Y"/>
        <s v="N"/>
        <m/>
      </sharedItems>
    </cacheField>
    <cacheField name="Who provides backup coverage for essential employees (if any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001"/>
    <x v="0"/>
    <d v="2024-09-30T00:00:00"/>
    <x v="0"/>
    <x v="0"/>
    <x v="0"/>
    <x v="0"/>
    <x v="0"/>
    <x v="0"/>
    <s v="Kevin Gosselin, Asst. Chief"/>
  </r>
  <r>
    <s v="002"/>
    <x v="1"/>
    <d v="2024-04-29T00:00:00"/>
    <x v="0"/>
    <x v="1"/>
    <x v="0"/>
    <x v="0"/>
    <x v="1"/>
    <x v="0"/>
    <s v="Chief Green, Fire Chief"/>
  </r>
  <r>
    <s v="003"/>
    <x v="2"/>
    <d v="2008-01-28T00:00:00"/>
    <x v="0"/>
    <x v="2"/>
    <x v="1"/>
    <x v="1"/>
    <x v="2"/>
    <x v="0"/>
    <s v="Green/Gosselin"/>
  </r>
  <r>
    <s v="004"/>
    <x v="2"/>
    <d v="2014-03-24T00:00:00"/>
    <x v="0"/>
    <x v="3"/>
    <x v="0"/>
    <x v="1"/>
    <x v="3"/>
    <x v="0"/>
    <s v="Green/Gosselin"/>
  </r>
  <r>
    <s v="005"/>
    <x v="2"/>
    <d v="2006-10-09T00:00:00"/>
    <x v="0"/>
    <x v="4"/>
    <x v="0"/>
    <x v="1"/>
    <x v="4"/>
    <x v="0"/>
    <s v="Green/Gosselin"/>
  </r>
  <r>
    <s v="006"/>
    <x v="3"/>
    <d v="2009-11-16T00:00:00"/>
    <x v="0"/>
    <x v="2"/>
    <x v="1"/>
    <x v="1"/>
    <x v="3"/>
    <x v="1"/>
    <s v="Step up FFs"/>
  </r>
  <r>
    <s v="007"/>
    <x v="3"/>
    <d v="2015-07-06T00:00:00"/>
    <x v="0"/>
    <x v="5"/>
    <x v="1"/>
    <x v="1"/>
    <x v="3"/>
    <x v="1"/>
    <s v="Step up FFs"/>
  </r>
  <r>
    <s v="008"/>
    <x v="3"/>
    <d v="2009-07-20T00:00:00"/>
    <x v="0"/>
    <x v="6"/>
    <x v="1"/>
    <x v="1"/>
    <x v="5"/>
    <x v="1"/>
    <s v="Step up FFs"/>
  </r>
  <r>
    <s v="009"/>
    <x v="3"/>
    <d v="2019-08-12T00:00:00"/>
    <x v="0"/>
    <x v="7"/>
    <x v="1"/>
    <x v="1"/>
    <x v="3"/>
    <x v="1"/>
    <s v="Step up FFs"/>
  </r>
  <r>
    <s v="010"/>
    <x v="3"/>
    <d v="2020-08-24T00:00:00"/>
    <x v="0"/>
    <x v="5"/>
    <x v="1"/>
    <x v="1"/>
    <x v="3"/>
    <x v="1"/>
    <s v="Step up FFs"/>
  </r>
  <r>
    <m/>
    <x v="3"/>
    <m/>
    <x v="0"/>
    <x v="8"/>
    <x v="2"/>
    <x v="2"/>
    <x v="6"/>
    <x v="2"/>
    <m/>
  </r>
  <r>
    <s v="011"/>
    <x v="4"/>
    <d v="2022-03-07T00:00:00"/>
    <x v="0"/>
    <x v="7"/>
    <x v="1"/>
    <x v="1"/>
    <x v="3"/>
    <x v="1"/>
    <m/>
  </r>
  <r>
    <s v="012"/>
    <x v="4"/>
    <d v="2022-10-10T00:00:00"/>
    <x v="0"/>
    <x v="5"/>
    <x v="1"/>
    <x v="1"/>
    <x v="3"/>
    <x v="1"/>
    <m/>
  </r>
  <r>
    <s v="013"/>
    <x v="4"/>
    <d v="2023-01-30T00:00:00"/>
    <x v="0"/>
    <x v="5"/>
    <x v="1"/>
    <x v="1"/>
    <x v="3"/>
    <x v="1"/>
    <m/>
  </r>
  <r>
    <s v="014"/>
    <x v="4"/>
    <d v="2023-02-06T00:00:00"/>
    <x v="0"/>
    <x v="5"/>
    <x v="1"/>
    <x v="1"/>
    <x v="3"/>
    <x v="1"/>
    <m/>
  </r>
  <r>
    <s v="015"/>
    <x v="4"/>
    <d v="2023-04-17T00:00:00"/>
    <x v="0"/>
    <x v="5"/>
    <x v="1"/>
    <x v="1"/>
    <x v="3"/>
    <x v="1"/>
    <m/>
  </r>
  <r>
    <s v="016"/>
    <x v="4"/>
    <d v="2023-08-08T00:00:00"/>
    <x v="0"/>
    <x v="9"/>
    <x v="1"/>
    <x v="1"/>
    <x v="3"/>
    <x v="1"/>
    <m/>
  </r>
  <r>
    <s v="017"/>
    <x v="4"/>
    <d v="2024-01-08T00:00:00"/>
    <x v="0"/>
    <x v="9"/>
    <x v="1"/>
    <x v="1"/>
    <x v="3"/>
    <x v="1"/>
    <m/>
  </r>
  <r>
    <s v="018"/>
    <x v="4"/>
    <d v="2024-03-06T00:00:00"/>
    <x v="0"/>
    <x v="9"/>
    <x v="1"/>
    <x v="1"/>
    <x v="3"/>
    <x v="1"/>
    <m/>
  </r>
  <r>
    <s v="019"/>
    <x v="4"/>
    <d v="2024-12-02T00:00:00"/>
    <x v="0"/>
    <x v="1"/>
    <x v="1"/>
    <x v="1"/>
    <x v="3"/>
    <x v="1"/>
    <m/>
  </r>
  <r>
    <s v="020"/>
    <x v="4"/>
    <d v="2025-01-06T00:00:00"/>
    <x v="0"/>
    <x v="1"/>
    <x v="1"/>
    <x v="1"/>
    <x v="3"/>
    <x v="1"/>
    <m/>
  </r>
  <r>
    <s v="021"/>
    <x v="4"/>
    <d v="2025-11-10T00:00:00"/>
    <x v="0"/>
    <x v="10"/>
    <x v="1"/>
    <x v="1"/>
    <x v="3"/>
    <x v="1"/>
    <m/>
  </r>
  <r>
    <s v="022"/>
    <x v="4"/>
    <d v="2026-01-05T00:00:00"/>
    <x v="0"/>
    <x v="10"/>
    <x v="1"/>
    <x v="1"/>
    <x v="3"/>
    <x v="1"/>
    <m/>
  </r>
  <r>
    <s v="023"/>
    <x v="4"/>
    <d v="2026-01-05T00:00:00"/>
    <x v="0"/>
    <x v="10"/>
    <x v="1"/>
    <x v="1"/>
    <x v="3"/>
    <x v="1"/>
    <m/>
  </r>
  <r>
    <s v="024"/>
    <x v="5"/>
    <d v="2018-06-05T00:00:00"/>
    <x v="0"/>
    <x v="11"/>
    <x v="1"/>
    <x v="1"/>
    <x v="3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80D5B-ED7E-488F-9997-CD8E2433B4D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H42" firstHeaderRow="1" firstDataRow="2" firstDataCol="1"/>
  <pivotFields count="10">
    <pivotField dataField="1" showAll="0"/>
    <pivotField axis="axisCol" showAll="0">
      <items count="7">
        <item x="1"/>
        <item x="4"/>
        <item x="2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Employee Name" fld="0" subtotal="count" baseField="0" baseItem="0"/>
  </dataFields>
  <formats count="4">
    <format dxfId="3">
      <pivotArea collapsedLevelsAreSubtotals="1" fieldPosition="0">
        <references count="2">
          <reference field="1" count="0" selected="0"/>
          <reference field="8" count="1">
            <x v="1"/>
          </reference>
        </references>
      </pivotArea>
    </format>
    <format dxfId="2">
      <pivotArea dataOnly="0" labelOnly="1" fieldPosition="0">
        <references count="1">
          <reference field="8" count="1">
            <x v="1"/>
          </reference>
        </references>
      </pivotArea>
    </format>
    <format dxfId="1">
      <pivotArea collapsedLevelsAreSubtotals="1" fieldPosition="0">
        <references count="2">
          <reference field="1" count="1" selected="0">
            <x v="4"/>
          </reference>
          <reference field="8" count="1">
            <x v="1"/>
          </reference>
        </references>
      </pivotArea>
    </format>
    <format dxfId="0">
      <pivotArea collapsedLevelsAreSubtotals="1" fieldPosition="0">
        <references count="2">
          <reference field="1" count="1" selected="0">
            <x v="1"/>
          </reference>
          <reference field="8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5B666-C11B-46FC-B569-B09EE5FC3BE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H34" firstHeaderRow="1" firstDataRow="2" firstDataCol="1"/>
  <pivotFields count="10">
    <pivotField dataField="1" showAll="0"/>
    <pivotField axis="axisCol" showAll="0">
      <items count="7">
        <item x="1"/>
        <item x="4"/>
        <item x="2"/>
        <item x="0"/>
        <item x="3"/>
        <item x="5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13">
        <item x="10"/>
        <item x="1"/>
        <item x="9"/>
        <item x="5"/>
        <item x="7"/>
        <item x="11"/>
        <item x="3"/>
        <item x="6"/>
        <item x="4"/>
        <item x="2"/>
        <item x="0"/>
        <item x="8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8">
        <item x="0"/>
        <item x="3"/>
        <item x="4"/>
        <item x="2"/>
        <item x="5"/>
        <item x="1"/>
        <item x="6"/>
        <item t="default"/>
      </items>
    </pivotField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Employee Name" fld="0" subtotal="count" baseField="0" baseItem="0"/>
  </dataFields>
  <formats count="6">
    <format dxfId="9">
      <pivotArea collapsedLevelsAreSubtotals="1" fieldPosition="0">
        <references count="2">
          <reference field="1" count="3" selected="0">
            <x v="0"/>
            <x v="1"/>
            <x v="2"/>
          </reference>
          <reference field="7" count="1">
            <x v="2"/>
          </reference>
        </references>
      </pivotArea>
    </format>
    <format dxfId="8">
      <pivotArea dataOnly="0" labelOnly="1" fieldPosition="0">
        <references count="1">
          <reference field="7" count="1">
            <x v="2"/>
          </reference>
        </references>
      </pivotArea>
    </format>
    <format dxfId="7">
      <pivotArea collapsedLevelsAreSubtotals="1" fieldPosition="0">
        <references count="2">
          <reference field="1" count="3" selected="0">
            <x v="0"/>
            <x v="1"/>
            <x v="2"/>
          </reference>
          <reference field="7" count="1">
            <x v="3"/>
          </reference>
        </references>
      </pivotArea>
    </format>
    <format dxfId="6">
      <pivotArea dataOnly="0" labelOnly="1" fieldPosition="0">
        <references count="1">
          <reference field="7" count="1">
            <x v="3"/>
          </reference>
        </references>
      </pivotArea>
    </format>
    <format dxfId="5">
      <pivotArea collapsedLevelsAreSubtotals="1" fieldPosition="0">
        <references count="2">
          <reference field="1" count="5" selected="0">
            <x v="0"/>
            <x v="1"/>
            <x v="2"/>
            <x v="3"/>
            <x v="4"/>
          </reference>
          <reference field="7" count="1">
            <x v="4"/>
          </reference>
        </references>
      </pivotArea>
    </format>
    <format dxfId="4">
      <pivotArea dataOnly="0" labelOnly="1" fieldPosition="0">
        <references count="1">
          <reference field="7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5FCA0-FA50-44EE-9DB3-687581C1093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E22" firstHeaderRow="1" firstDataRow="2" firstDataCol="1"/>
  <pivotFields count="10">
    <pivotField dataField="1" showAll="0"/>
    <pivotField axis="axisRow" showAll="0">
      <items count="7">
        <item x="1"/>
        <item x="4"/>
        <item x="2"/>
        <item x="0"/>
        <item x="3"/>
        <item x="5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Employe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E0BFB-FC27-4CA8-BF58-5CDC4DEAB5C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10">
    <pivotField dataField="1" showAll="0"/>
    <pivotField axis="axisRow" showAll="0">
      <items count="7">
        <item x="1"/>
        <item x="4"/>
        <item x="2"/>
        <item x="0"/>
        <item x="3"/>
        <item x="5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Employe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wisvillechamber.org/leadership-lewisville/" TargetMode="External"/><Relationship Id="rId2" Type="http://schemas.openxmlformats.org/officeDocument/2006/relationships/hyperlink" Target="https://www.pdaleadership.com/index.php" TargetMode="External"/><Relationship Id="rId1" Type="http://schemas.openxmlformats.org/officeDocument/2006/relationships/hyperlink" Target="https://www.governmentresource.com/leadership-and-professional-development/" TargetMode="External"/><Relationship Id="rId5" Type="http://schemas.openxmlformats.org/officeDocument/2006/relationships/hyperlink" Target="https://teex.org/program/leadership-development-fire-officer/" TargetMode="External"/><Relationship Id="rId4" Type="http://schemas.openxmlformats.org/officeDocument/2006/relationships/hyperlink" Target="https://learning.nrpa.org/in-person-lear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7"/>
  <sheetViews>
    <sheetView tabSelected="1" workbookViewId="0">
      <pane xSplit="1" topLeftCell="B1" activePane="topRight" state="frozen"/>
      <selection pane="topRight" activeCell="O2" sqref="O2"/>
    </sheetView>
  </sheetViews>
  <sheetFormatPr baseColWidth="10" defaultColWidth="8.83203125" defaultRowHeight="15" customHeight="1" x14ac:dyDescent="0.2"/>
  <cols>
    <col min="1" max="1" width="20.6640625" customWidth="1"/>
    <col min="2" max="2" width="24.83203125" customWidth="1"/>
    <col min="3" max="5" width="25.1640625" style="10" customWidth="1"/>
    <col min="6" max="6" width="33.83203125" style="10" bestFit="1" customWidth="1"/>
    <col min="7" max="7" width="33.83203125" style="10" customWidth="1"/>
    <col min="8" max="8" width="34.5" style="10" bestFit="1" customWidth="1"/>
    <col min="9" max="9" width="28.6640625" style="10" customWidth="1"/>
    <col min="10" max="10" width="43.33203125" style="10" customWidth="1"/>
    <col min="11" max="15" width="32.1640625" style="10" customWidth="1"/>
    <col min="16" max="16" width="32.1640625" customWidth="1"/>
    <col min="17" max="17" width="40.5" customWidth="1"/>
    <col min="18" max="19" width="56" customWidth="1"/>
    <col min="20" max="20" width="19.5" bestFit="1" customWidth="1"/>
    <col min="21" max="21" width="46.5" bestFit="1" customWidth="1"/>
    <col min="22" max="23" width="46.5" customWidth="1"/>
    <col min="24" max="24" width="34.5" bestFit="1" customWidth="1"/>
    <col min="25" max="25" width="59.6640625" bestFit="1" customWidth="1"/>
    <col min="26" max="26" width="48.5" bestFit="1" customWidth="1"/>
    <col min="27" max="29" width="34.5" customWidth="1"/>
    <col min="30" max="30" width="40.1640625" bestFit="1" customWidth="1"/>
    <col min="31" max="31" width="82.33203125" bestFit="1" customWidth="1"/>
    <col min="32" max="32" width="55.6640625" bestFit="1" customWidth="1"/>
    <col min="33" max="33" width="52" bestFit="1" customWidth="1"/>
    <col min="34" max="34" width="52" customWidth="1"/>
    <col min="35" max="39" width="34.5" customWidth="1"/>
    <col min="40" max="40" width="50" bestFit="1" customWidth="1"/>
    <col min="41" max="44" width="34.5" customWidth="1"/>
    <col min="45" max="45" width="21.5" customWidth="1"/>
    <col min="46" max="46" width="28.1640625" customWidth="1"/>
  </cols>
  <sheetData>
    <row r="1" spans="1:46" ht="10.5" customHeight="1" x14ac:dyDescent="0.2">
      <c r="A1" s="1" t="s">
        <v>0</v>
      </c>
      <c r="B1" s="1" t="s">
        <v>1</v>
      </c>
      <c r="C1" s="13"/>
      <c r="D1" s="13"/>
      <c r="E1" s="13"/>
      <c r="F1" s="13"/>
      <c r="G1" s="13"/>
      <c r="H1" s="13"/>
      <c r="N1" s="10">
        <f ca="1">N:O</f>
        <v>0</v>
      </c>
    </row>
    <row r="2" spans="1:46" s="3" customFormat="1" ht="75.75" customHeight="1" x14ac:dyDescent="0.2">
      <c r="A2" s="3" t="s">
        <v>2</v>
      </c>
      <c r="B2" s="4" t="s">
        <v>3</v>
      </c>
      <c r="C2" s="4" t="s">
        <v>4</v>
      </c>
      <c r="D2" s="87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5" t="s">
        <v>10</v>
      </c>
      <c r="J2" s="5" t="s">
        <v>11</v>
      </c>
      <c r="K2" s="12" t="s">
        <v>12</v>
      </c>
      <c r="L2" s="12" t="s">
        <v>13</v>
      </c>
      <c r="M2" s="82" t="s">
        <v>14</v>
      </c>
      <c r="N2" s="12" t="s">
        <v>15</v>
      </c>
      <c r="O2" s="88" t="s">
        <v>16</v>
      </c>
      <c r="P2" s="3" t="s">
        <v>17</v>
      </c>
      <c r="Q2" s="3" t="s">
        <v>18</v>
      </c>
      <c r="R2" s="7" t="s">
        <v>19</v>
      </c>
      <c r="S2" s="7" t="s">
        <v>20</v>
      </c>
      <c r="T2" s="83" t="s">
        <v>21</v>
      </c>
      <c r="U2" s="83" t="s">
        <v>22</v>
      </c>
      <c r="V2" s="83" t="s">
        <v>23</v>
      </c>
      <c r="W2" s="83" t="s">
        <v>24</v>
      </c>
      <c r="X2" s="83" t="s">
        <v>25</v>
      </c>
      <c r="Y2" s="83" t="s">
        <v>26</v>
      </c>
      <c r="Z2" s="3" t="s">
        <v>27</v>
      </c>
      <c r="AA2" s="3" t="s">
        <v>28</v>
      </c>
      <c r="AB2" s="3" t="s">
        <v>29</v>
      </c>
      <c r="AC2" s="84"/>
      <c r="AD2" s="43" t="s">
        <v>30</v>
      </c>
      <c r="AE2" s="43" t="s">
        <v>31</v>
      </c>
      <c r="AF2" s="85" t="s">
        <v>32</v>
      </c>
      <c r="AG2" s="73" t="s">
        <v>33</v>
      </c>
      <c r="AH2" s="44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66" t="s">
        <v>39</v>
      </c>
      <c r="AN2" s="52" t="s">
        <v>40</v>
      </c>
      <c r="AO2" s="70"/>
      <c r="AP2" s="44"/>
      <c r="AS2" s="7"/>
      <c r="AT2" s="7"/>
    </row>
    <row r="3" spans="1:46" ht="25" x14ac:dyDescent="0.2">
      <c r="A3" s="53" t="s">
        <v>41</v>
      </c>
      <c r="B3" s="8" t="s">
        <v>42</v>
      </c>
      <c r="C3" s="14">
        <v>45565</v>
      </c>
      <c r="D3" s="35">
        <f>ROUND(YEARFRAC(C3,DATE(2026,3,7)),0)</f>
        <v>1</v>
      </c>
      <c r="E3" s="17" t="s">
        <v>43</v>
      </c>
      <c r="F3" s="14" t="s">
        <v>44</v>
      </c>
      <c r="G3" s="80" t="s">
        <v>45</v>
      </c>
      <c r="H3" s="14" t="s">
        <v>46</v>
      </c>
      <c r="I3" s="8" t="s">
        <v>47</v>
      </c>
      <c r="J3" s="8" t="s">
        <v>48</v>
      </c>
      <c r="K3" s="8" t="s">
        <v>49</v>
      </c>
      <c r="L3" s="8" t="s">
        <v>50</v>
      </c>
      <c r="M3" s="8" t="s">
        <v>51</v>
      </c>
      <c r="N3" s="8" t="s">
        <v>52</v>
      </c>
      <c r="O3" s="8" t="s">
        <v>48</v>
      </c>
      <c r="P3" s="8" t="s">
        <v>53</v>
      </c>
      <c r="Q3" s="53" t="s">
        <v>54</v>
      </c>
      <c r="R3" s="53" t="s">
        <v>55</v>
      </c>
      <c r="S3" s="53" t="s">
        <v>55</v>
      </c>
      <c r="T3" s="8"/>
      <c r="U3" s="8"/>
      <c r="V3" s="53" t="s">
        <v>56</v>
      </c>
      <c r="W3" s="80" t="s">
        <v>57</v>
      </c>
      <c r="X3" s="8" t="s">
        <v>54</v>
      </c>
      <c r="Y3" s="8"/>
      <c r="Z3" s="8"/>
      <c r="AA3" s="8"/>
      <c r="AB3" s="9"/>
      <c r="AC3" s="40"/>
      <c r="AD3" s="75" t="s">
        <v>58</v>
      </c>
      <c r="AE3" s="75" t="s">
        <v>59</v>
      </c>
      <c r="AF3" s="86" t="s">
        <v>60</v>
      </c>
      <c r="AG3" s="8" t="s">
        <v>61</v>
      </c>
      <c r="AH3" s="8" t="s">
        <v>51</v>
      </c>
      <c r="AI3" s="9" t="s">
        <v>51</v>
      </c>
      <c r="AJ3" s="9" t="s">
        <v>51</v>
      </c>
      <c r="AK3" s="45" t="s">
        <v>51</v>
      </c>
      <c r="AL3" s="6" t="s">
        <v>62</v>
      </c>
      <c r="AM3" s="48" t="s">
        <v>51</v>
      </c>
      <c r="AN3" s="50" t="s">
        <v>51</v>
      </c>
      <c r="AO3" s="71"/>
      <c r="AP3" s="51"/>
      <c r="AQ3" s="9"/>
      <c r="AR3" s="9"/>
      <c r="AS3" s="9"/>
      <c r="AT3" s="9"/>
    </row>
    <row r="4" spans="1:46" ht="49" x14ac:dyDescent="0.2">
      <c r="A4" s="53" t="s">
        <v>63</v>
      </c>
      <c r="B4" s="2" t="s">
        <v>64</v>
      </c>
      <c r="C4" s="15">
        <v>45411</v>
      </c>
      <c r="D4" s="35">
        <f t="shared" ref="D4:D27" si="0">ROUND(YEARFRAC(C4,DATE(2026,3,7)),0)</f>
        <v>2</v>
      </c>
      <c r="E4" s="18">
        <v>1</v>
      </c>
      <c r="F4" s="15" t="s">
        <v>44</v>
      </c>
      <c r="G4" s="80" t="s">
        <v>65</v>
      </c>
      <c r="H4" s="15" t="s">
        <v>46</v>
      </c>
      <c r="I4" s="8" t="s">
        <v>66</v>
      </c>
      <c r="J4" s="8" t="s">
        <v>48</v>
      </c>
      <c r="K4" s="8" t="s">
        <v>67</v>
      </c>
      <c r="L4" s="8" t="s">
        <v>68</v>
      </c>
      <c r="M4" s="8" t="s">
        <v>51</v>
      </c>
      <c r="N4" s="8" t="s">
        <v>52</v>
      </c>
      <c r="O4" s="8" t="s">
        <v>69</v>
      </c>
      <c r="P4" s="8" t="s">
        <v>53</v>
      </c>
      <c r="Q4" s="53" t="s">
        <v>70</v>
      </c>
      <c r="R4" s="53" t="s">
        <v>55</v>
      </c>
      <c r="S4" s="53" t="s">
        <v>55</v>
      </c>
      <c r="T4" s="8"/>
      <c r="U4" s="8" t="s">
        <v>71</v>
      </c>
      <c r="V4" s="53" t="s">
        <v>56</v>
      </c>
      <c r="W4" s="80" t="s">
        <v>57</v>
      </c>
      <c r="X4" s="8" t="s">
        <v>46</v>
      </c>
      <c r="Y4" s="8" t="s">
        <v>72</v>
      </c>
      <c r="Z4" s="8" t="s">
        <v>73</v>
      </c>
      <c r="AA4" s="8">
        <v>46168</v>
      </c>
      <c r="AB4" s="6"/>
      <c r="AC4" s="41"/>
      <c r="AD4" s="75" t="s">
        <v>74</v>
      </c>
      <c r="AE4" s="75" t="s">
        <v>75</v>
      </c>
      <c r="AF4" s="86" t="s">
        <v>76</v>
      </c>
      <c r="AG4" s="8" t="s">
        <v>77</v>
      </c>
      <c r="AH4" s="8" t="s">
        <v>78</v>
      </c>
      <c r="AI4" s="8" t="s">
        <v>42</v>
      </c>
      <c r="AJ4" s="6" t="s">
        <v>79</v>
      </c>
      <c r="AK4" s="6" t="s">
        <v>79</v>
      </c>
      <c r="AL4" s="6" t="s">
        <v>62</v>
      </c>
      <c r="AM4" s="47" t="s">
        <v>80</v>
      </c>
      <c r="AN4" s="50" t="s">
        <v>51</v>
      </c>
      <c r="AO4" s="71"/>
      <c r="AP4" s="42"/>
      <c r="AQ4" s="6"/>
      <c r="AR4" s="6"/>
      <c r="AS4" s="6"/>
      <c r="AT4" s="6"/>
    </row>
    <row r="5" spans="1:46" ht="49" x14ac:dyDescent="0.2">
      <c r="A5" s="53" t="s">
        <v>81</v>
      </c>
      <c r="B5" s="2" t="s">
        <v>82</v>
      </c>
      <c r="C5" s="15">
        <v>39475</v>
      </c>
      <c r="D5" s="35">
        <f t="shared" si="0"/>
        <v>18</v>
      </c>
      <c r="E5" s="18">
        <v>13</v>
      </c>
      <c r="F5" s="15" t="s">
        <v>46</v>
      </c>
      <c r="G5" s="80" t="s">
        <v>83</v>
      </c>
      <c r="H5" s="15" t="s">
        <v>44</v>
      </c>
      <c r="I5" s="8" t="s">
        <v>84</v>
      </c>
      <c r="J5" s="8" t="s">
        <v>48</v>
      </c>
      <c r="K5" s="8" t="s">
        <v>85</v>
      </c>
      <c r="L5" s="8" t="s">
        <v>68</v>
      </c>
      <c r="M5" s="8" t="s">
        <v>51</v>
      </c>
      <c r="N5" s="8" t="s">
        <v>84</v>
      </c>
      <c r="O5" s="8" t="s">
        <v>84</v>
      </c>
      <c r="P5" s="8" t="s">
        <v>53</v>
      </c>
      <c r="Q5" s="53" t="s">
        <v>86</v>
      </c>
      <c r="R5" s="53" t="s">
        <v>87</v>
      </c>
      <c r="S5" s="53" t="s">
        <v>88</v>
      </c>
      <c r="T5" s="8"/>
      <c r="U5" s="8" t="s">
        <v>89</v>
      </c>
      <c r="V5" s="53" t="s">
        <v>56</v>
      </c>
      <c r="W5" s="80" t="s">
        <v>90</v>
      </c>
      <c r="X5" s="8" t="s">
        <v>91</v>
      </c>
      <c r="Y5" s="8" t="s">
        <v>69</v>
      </c>
      <c r="Z5" s="8" t="s">
        <v>69</v>
      </c>
      <c r="AA5" s="8" t="s">
        <v>69</v>
      </c>
      <c r="AB5" s="6"/>
      <c r="AC5" s="41"/>
      <c r="AD5" s="75" t="s">
        <v>92</v>
      </c>
      <c r="AE5" s="75" t="s">
        <v>93</v>
      </c>
      <c r="AF5" s="86" t="s">
        <v>94</v>
      </c>
      <c r="AG5" s="8" t="s">
        <v>95</v>
      </c>
      <c r="AH5" s="8" t="s">
        <v>96</v>
      </c>
      <c r="AI5" s="2" t="s">
        <v>64</v>
      </c>
      <c r="AJ5" s="6" t="s">
        <v>62</v>
      </c>
      <c r="AK5" s="6" t="s">
        <v>79</v>
      </c>
      <c r="AL5" s="6" t="s">
        <v>62</v>
      </c>
      <c r="AM5" s="47" t="s">
        <v>97</v>
      </c>
      <c r="AN5" s="50" t="s">
        <v>98</v>
      </c>
      <c r="AO5" s="71"/>
      <c r="AP5" s="42"/>
      <c r="AQ5" s="6"/>
      <c r="AR5" s="6"/>
      <c r="AS5" s="6"/>
      <c r="AT5" s="6"/>
    </row>
    <row r="6" spans="1:46" ht="49" x14ac:dyDescent="0.2">
      <c r="A6" s="53" t="s">
        <v>99</v>
      </c>
      <c r="B6" s="2" t="s">
        <v>82</v>
      </c>
      <c r="C6" s="15">
        <v>41722</v>
      </c>
      <c r="D6" s="35">
        <f t="shared" si="0"/>
        <v>12</v>
      </c>
      <c r="E6" s="18">
        <v>9</v>
      </c>
      <c r="F6" s="15" t="s">
        <v>100</v>
      </c>
      <c r="G6" s="80" t="s">
        <v>101</v>
      </c>
      <c r="H6" s="15" t="s">
        <v>44</v>
      </c>
      <c r="I6" s="8" t="s">
        <v>84</v>
      </c>
      <c r="J6" s="8" t="s">
        <v>48</v>
      </c>
      <c r="K6" s="8" t="s">
        <v>85</v>
      </c>
      <c r="L6" s="8" t="s">
        <v>68</v>
      </c>
      <c r="M6" s="8" t="s">
        <v>51</v>
      </c>
      <c r="N6" s="8" t="s">
        <v>84</v>
      </c>
      <c r="O6" s="8" t="s">
        <v>84</v>
      </c>
      <c r="P6" s="8" t="s">
        <v>53</v>
      </c>
      <c r="Q6" s="53" t="s">
        <v>70</v>
      </c>
      <c r="R6" s="53" t="s">
        <v>87</v>
      </c>
      <c r="S6" s="53" t="s">
        <v>88</v>
      </c>
      <c r="T6" s="8"/>
      <c r="U6" s="8" t="s">
        <v>102</v>
      </c>
      <c r="V6" s="53" t="s">
        <v>56</v>
      </c>
      <c r="W6" s="80" t="s">
        <v>90</v>
      </c>
      <c r="X6" s="8" t="s">
        <v>44</v>
      </c>
      <c r="Y6" s="8" t="s">
        <v>72</v>
      </c>
      <c r="Z6" s="8" t="s">
        <v>103</v>
      </c>
      <c r="AA6" s="8" t="s">
        <v>69</v>
      </c>
      <c r="AB6" s="6"/>
      <c r="AC6" s="41"/>
      <c r="AD6" s="75" t="s">
        <v>92</v>
      </c>
      <c r="AE6" s="75" t="s">
        <v>93</v>
      </c>
      <c r="AF6" s="86" t="s">
        <v>94</v>
      </c>
      <c r="AG6" s="8" t="s">
        <v>95</v>
      </c>
      <c r="AH6" s="8" t="s">
        <v>96</v>
      </c>
      <c r="AI6" s="2" t="s">
        <v>64</v>
      </c>
      <c r="AJ6" s="6" t="s">
        <v>62</v>
      </c>
      <c r="AK6" s="6" t="s">
        <v>79</v>
      </c>
      <c r="AL6" s="6" t="s">
        <v>62</v>
      </c>
      <c r="AM6" s="47" t="s">
        <v>97</v>
      </c>
      <c r="AN6" s="50" t="s">
        <v>98</v>
      </c>
      <c r="AO6" s="71"/>
      <c r="AP6" s="42"/>
      <c r="AQ6" s="6"/>
      <c r="AR6" s="6"/>
      <c r="AS6" s="6"/>
      <c r="AT6" s="6"/>
    </row>
    <row r="7" spans="1:46" ht="49" x14ac:dyDescent="0.2">
      <c r="A7" s="53" t="s">
        <v>104</v>
      </c>
      <c r="B7" s="2" t="s">
        <v>82</v>
      </c>
      <c r="C7" s="15">
        <v>38999</v>
      </c>
      <c r="D7" s="35">
        <f t="shared" si="0"/>
        <v>19</v>
      </c>
      <c r="E7" s="18">
        <v>12</v>
      </c>
      <c r="F7" s="15" t="s">
        <v>46</v>
      </c>
      <c r="G7" s="80" t="s">
        <v>83</v>
      </c>
      <c r="H7" s="15" t="s">
        <v>44</v>
      </c>
      <c r="I7" s="8" t="s">
        <v>105</v>
      </c>
      <c r="J7" s="8" t="s">
        <v>48</v>
      </c>
      <c r="K7" s="8" t="s">
        <v>85</v>
      </c>
      <c r="L7" s="8" t="s">
        <v>68</v>
      </c>
      <c r="M7" s="8" t="s">
        <v>51</v>
      </c>
      <c r="N7" s="8" t="s">
        <v>84</v>
      </c>
      <c r="O7" s="8" t="s">
        <v>84</v>
      </c>
      <c r="P7" s="8" t="s">
        <v>53</v>
      </c>
      <c r="Q7" s="53" t="s">
        <v>70</v>
      </c>
      <c r="R7" s="53" t="s">
        <v>87</v>
      </c>
      <c r="S7" s="53" t="s">
        <v>88</v>
      </c>
      <c r="T7" s="8"/>
      <c r="U7" s="8" t="s">
        <v>102</v>
      </c>
      <c r="V7" s="53" t="s">
        <v>56</v>
      </c>
      <c r="W7" s="80" t="s">
        <v>90</v>
      </c>
      <c r="X7" s="8" t="s">
        <v>44</v>
      </c>
      <c r="Y7" s="8" t="s">
        <v>72</v>
      </c>
      <c r="Z7" s="8" t="s">
        <v>103</v>
      </c>
      <c r="AA7" s="8" t="s">
        <v>69</v>
      </c>
      <c r="AB7" s="6"/>
      <c r="AC7" s="41"/>
      <c r="AD7" s="75" t="s">
        <v>92</v>
      </c>
      <c r="AE7" s="75" t="s">
        <v>93</v>
      </c>
      <c r="AF7" s="86" t="s">
        <v>94</v>
      </c>
      <c r="AG7" s="8" t="s">
        <v>95</v>
      </c>
      <c r="AH7" s="8" t="s">
        <v>96</v>
      </c>
      <c r="AI7" s="2" t="s">
        <v>64</v>
      </c>
      <c r="AJ7" s="6" t="s">
        <v>62</v>
      </c>
      <c r="AK7" s="6" t="s">
        <v>79</v>
      </c>
      <c r="AL7" s="6" t="s">
        <v>62</v>
      </c>
      <c r="AM7" s="47" t="s">
        <v>97</v>
      </c>
      <c r="AN7" s="50" t="s">
        <v>98</v>
      </c>
      <c r="AO7" s="71"/>
      <c r="AP7" s="42"/>
      <c r="AQ7" s="6"/>
      <c r="AR7" s="6"/>
      <c r="AS7" s="6"/>
      <c r="AT7" s="6"/>
    </row>
    <row r="8" spans="1:46" ht="49" x14ac:dyDescent="0.2">
      <c r="A8" s="53" t="s">
        <v>106</v>
      </c>
      <c r="B8" s="2" t="s">
        <v>107</v>
      </c>
      <c r="C8" s="15">
        <v>40133</v>
      </c>
      <c r="D8" s="35">
        <f t="shared" si="0"/>
        <v>16</v>
      </c>
      <c r="E8" s="18">
        <v>13</v>
      </c>
      <c r="F8" s="15" t="s">
        <v>44</v>
      </c>
      <c r="G8" s="80" t="s">
        <v>108</v>
      </c>
      <c r="H8" s="15" t="s">
        <v>44</v>
      </c>
      <c r="I8" s="8" t="s">
        <v>109</v>
      </c>
      <c r="J8" s="8" t="s">
        <v>68</v>
      </c>
      <c r="K8" s="8" t="s">
        <v>110</v>
      </c>
      <c r="L8" s="8" t="s">
        <v>68</v>
      </c>
      <c r="M8" s="8" t="s">
        <v>51</v>
      </c>
      <c r="N8" s="8" t="s">
        <v>84</v>
      </c>
      <c r="O8" s="8" t="s">
        <v>84</v>
      </c>
      <c r="P8" s="8" t="s">
        <v>53</v>
      </c>
      <c r="Q8" s="53" t="s">
        <v>86</v>
      </c>
      <c r="R8" s="53" t="s">
        <v>87</v>
      </c>
      <c r="S8" s="53" t="s">
        <v>111</v>
      </c>
      <c r="T8" s="8"/>
      <c r="U8" s="8" t="s">
        <v>89</v>
      </c>
      <c r="V8" s="53" t="s">
        <v>56</v>
      </c>
      <c r="W8" s="80" t="s">
        <v>90</v>
      </c>
      <c r="X8" s="8" t="s">
        <v>91</v>
      </c>
      <c r="Y8" s="8" t="s">
        <v>69</v>
      </c>
      <c r="Z8" s="8" t="s">
        <v>69</v>
      </c>
      <c r="AA8" s="8" t="s">
        <v>69</v>
      </c>
      <c r="AB8" s="6"/>
      <c r="AC8" s="41"/>
      <c r="AD8" s="75" t="s">
        <v>112</v>
      </c>
      <c r="AE8" s="75" t="s">
        <v>113</v>
      </c>
      <c r="AF8" s="86" t="s">
        <v>114</v>
      </c>
      <c r="AG8" s="8" t="s">
        <v>115</v>
      </c>
      <c r="AH8" s="8" t="s">
        <v>116</v>
      </c>
      <c r="AI8" s="2" t="s">
        <v>82</v>
      </c>
      <c r="AJ8" s="6" t="s">
        <v>62</v>
      </c>
      <c r="AK8" s="6" t="s">
        <v>62</v>
      </c>
      <c r="AL8" s="6" t="s">
        <v>62</v>
      </c>
      <c r="AM8" s="47" t="s">
        <v>117</v>
      </c>
      <c r="AN8" s="50" t="s">
        <v>118</v>
      </c>
      <c r="AO8" s="71"/>
      <c r="AP8" s="42"/>
      <c r="AQ8" s="6"/>
      <c r="AR8" s="6"/>
      <c r="AS8" s="6"/>
      <c r="AT8" s="6"/>
    </row>
    <row r="9" spans="1:46" ht="49" x14ac:dyDescent="0.2">
      <c r="A9" s="53" t="s">
        <v>119</v>
      </c>
      <c r="B9" s="2" t="s">
        <v>107</v>
      </c>
      <c r="C9" s="15">
        <v>42191</v>
      </c>
      <c r="D9" s="35">
        <f t="shared" si="0"/>
        <v>11</v>
      </c>
      <c r="E9" s="18">
        <v>3</v>
      </c>
      <c r="F9" s="15" t="s">
        <v>44</v>
      </c>
      <c r="G9" s="80" t="s">
        <v>120</v>
      </c>
      <c r="H9" s="15" t="s">
        <v>44</v>
      </c>
      <c r="I9" s="8" t="s">
        <v>84</v>
      </c>
      <c r="J9" s="8" t="s">
        <v>68</v>
      </c>
      <c r="K9" s="8" t="s">
        <v>110</v>
      </c>
      <c r="L9" s="8" t="s">
        <v>68</v>
      </c>
      <c r="M9" s="8" t="s">
        <v>51</v>
      </c>
      <c r="N9" s="8" t="s">
        <v>84</v>
      </c>
      <c r="O9" s="8" t="s">
        <v>84</v>
      </c>
      <c r="P9" s="8" t="s">
        <v>53</v>
      </c>
      <c r="Q9" s="53" t="s">
        <v>70</v>
      </c>
      <c r="R9" s="53" t="s">
        <v>87</v>
      </c>
      <c r="S9" s="53" t="s">
        <v>111</v>
      </c>
      <c r="T9" s="8"/>
      <c r="U9" s="8" t="s">
        <v>121</v>
      </c>
      <c r="V9" s="53" t="s">
        <v>56</v>
      </c>
      <c r="W9" s="80" t="s">
        <v>90</v>
      </c>
      <c r="X9" s="8" t="s">
        <v>44</v>
      </c>
      <c r="Y9" s="8" t="s">
        <v>72</v>
      </c>
      <c r="Z9" s="8" t="s">
        <v>103</v>
      </c>
      <c r="AA9" s="8" t="s">
        <v>69</v>
      </c>
      <c r="AB9" s="6"/>
      <c r="AC9" s="41"/>
      <c r="AD9" s="75" t="s">
        <v>112</v>
      </c>
      <c r="AE9" s="75" t="s">
        <v>113</v>
      </c>
      <c r="AF9" s="86" t="s">
        <v>114</v>
      </c>
      <c r="AG9" s="8" t="s">
        <v>115</v>
      </c>
      <c r="AH9" s="8" t="s">
        <v>116</v>
      </c>
      <c r="AI9" s="2" t="s">
        <v>82</v>
      </c>
      <c r="AJ9" s="6" t="s">
        <v>62</v>
      </c>
      <c r="AK9" s="6" t="s">
        <v>62</v>
      </c>
      <c r="AL9" s="6" t="s">
        <v>62</v>
      </c>
      <c r="AM9" s="47" t="s">
        <v>117</v>
      </c>
      <c r="AN9" s="50" t="s">
        <v>118</v>
      </c>
      <c r="AO9" s="71"/>
      <c r="AP9" s="42"/>
      <c r="AQ9" s="6"/>
      <c r="AR9" s="6"/>
      <c r="AS9" s="6"/>
      <c r="AT9" s="6"/>
    </row>
    <row r="10" spans="1:46" ht="49" x14ac:dyDescent="0.2">
      <c r="A10" s="53" t="s">
        <v>122</v>
      </c>
      <c r="B10" s="2" t="s">
        <v>107</v>
      </c>
      <c r="C10" s="15">
        <v>40014</v>
      </c>
      <c r="D10" s="35">
        <f t="shared" si="0"/>
        <v>17</v>
      </c>
      <c r="E10" s="18">
        <v>11</v>
      </c>
      <c r="F10" s="15" t="s">
        <v>46</v>
      </c>
      <c r="G10" s="80" t="s">
        <v>120</v>
      </c>
      <c r="H10" s="15" t="s">
        <v>44</v>
      </c>
      <c r="I10" s="8" t="s">
        <v>109</v>
      </c>
      <c r="J10" s="8" t="s">
        <v>68</v>
      </c>
      <c r="K10" s="8" t="s">
        <v>110</v>
      </c>
      <c r="L10" s="8" t="s">
        <v>68</v>
      </c>
      <c r="M10" s="8" t="s">
        <v>51</v>
      </c>
      <c r="N10" s="8" t="s">
        <v>84</v>
      </c>
      <c r="O10" s="8" t="s">
        <v>84</v>
      </c>
      <c r="P10" s="8" t="s">
        <v>53</v>
      </c>
      <c r="Q10" s="53" t="s">
        <v>86</v>
      </c>
      <c r="R10" s="53" t="s">
        <v>87</v>
      </c>
      <c r="S10" s="53" t="s">
        <v>111</v>
      </c>
      <c r="T10" s="8"/>
      <c r="U10" s="8" t="s">
        <v>89</v>
      </c>
      <c r="V10" s="53" t="s">
        <v>56</v>
      </c>
      <c r="W10" s="80" t="s">
        <v>90</v>
      </c>
      <c r="X10" s="8" t="s">
        <v>91</v>
      </c>
      <c r="Y10" s="8" t="s">
        <v>69</v>
      </c>
      <c r="Z10" s="8" t="s">
        <v>69</v>
      </c>
      <c r="AA10" s="8" t="s">
        <v>69</v>
      </c>
      <c r="AB10" s="6"/>
      <c r="AC10" s="41"/>
      <c r="AD10" s="75" t="s">
        <v>112</v>
      </c>
      <c r="AE10" s="75" t="s">
        <v>113</v>
      </c>
      <c r="AF10" s="86" t="s">
        <v>114</v>
      </c>
      <c r="AG10" s="8" t="s">
        <v>115</v>
      </c>
      <c r="AH10" s="8" t="s">
        <v>116</v>
      </c>
      <c r="AI10" s="2" t="s">
        <v>82</v>
      </c>
      <c r="AJ10" s="6" t="s">
        <v>62</v>
      </c>
      <c r="AK10" s="6" t="s">
        <v>62</v>
      </c>
      <c r="AL10" s="6" t="s">
        <v>62</v>
      </c>
      <c r="AM10" s="47" t="s">
        <v>117</v>
      </c>
      <c r="AN10" s="50" t="s">
        <v>118</v>
      </c>
      <c r="AO10" s="71"/>
      <c r="AP10" s="42"/>
      <c r="AQ10" s="6"/>
      <c r="AR10" s="6"/>
      <c r="AS10" s="6"/>
      <c r="AT10" s="6"/>
    </row>
    <row r="11" spans="1:46" ht="49" x14ac:dyDescent="0.2">
      <c r="A11" s="53" t="s">
        <v>123</v>
      </c>
      <c r="B11" s="2" t="s">
        <v>107</v>
      </c>
      <c r="C11" s="15">
        <v>43689</v>
      </c>
      <c r="D11" s="35">
        <f t="shared" si="0"/>
        <v>7</v>
      </c>
      <c r="E11" s="18">
        <v>4</v>
      </c>
      <c r="F11" s="15" t="s">
        <v>44</v>
      </c>
      <c r="G11" s="80" t="s">
        <v>120</v>
      </c>
      <c r="H11" s="15" t="s">
        <v>44</v>
      </c>
      <c r="I11" s="8" t="s">
        <v>84</v>
      </c>
      <c r="J11" s="8" t="s">
        <v>68</v>
      </c>
      <c r="K11" s="8" t="s">
        <v>110</v>
      </c>
      <c r="L11" s="8" t="s">
        <v>68</v>
      </c>
      <c r="M11" s="8" t="s">
        <v>51</v>
      </c>
      <c r="N11" s="8" t="s">
        <v>84</v>
      </c>
      <c r="O11" s="8" t="s">
        <v>84</v>
      </c>
      <c r="P11" s="8" t="s">
        <v>53</v>
      </c>
      <c r="Q11" s="53" t="s">
        <v>86</v>
      </c>
      <c r="R11" s="53" t="s">
        <v>87</v>
      </c>
      <c r="S11" s="53" t="s">
        <v>111</v>
      </c>
      <c r="T11" s="8"/>
      <c r="U11" s="8" t="s">
        <v>89</v>
      </c>
      <c r="V11" s="53" t="s">
        <v>56</v>
      </c>
      <c r="W11" s="80" t="s">
        <v>90</v>
      </c>
      <c r="X11" s="8" t="s">
        <v>91</v>
      </c>
      <c r="Y11" s="8" t="s">
        <v>69</v>
      </c>
      <c r="Z11" s="8" t="s">
        <v>69</v>
      </c>
      <c r="AA11" s="8" t="s">
        <v>69</v>
      </c>
      <c r="AB11" s="6"/>
      <c r="AC11" s="41"/>
      <c r="AD11" s="75" t="s">
        <v>112</v>
      </c>
      <c r="AE11" s="75" t="s">
        <v>113</v>
      </c>
      <c r="AF11" s="86" t="s">
        <v>114</v>
      </c>
      <c r="AG11" s="8" t="s">
        <v>115</v>
      </c>
      <c r="AH11" s="8" t="s">
        <v>116</v>
      </c>
      <c r="AI11" s="2" t="s">
        <v>82</v>
      </c>
      <c r="AJ11" s="6" t="s">
        <v>62</v>
      </c>
      <c r="AK11" s="6" t="s">
        <v>62</v>
      </c>
      <c r="AL11" s="6" t="s">
        <v>62</v>
      </c>
      <c r="AM11" s="47" t="s">
        <v>117</v>
      </c>
      <c r="AN11" s="50" t="s">
        <v>118</v>
      </c>
      <c r="AO11" s="71"/>
      <c r="AP11" s="42"/>
      <c r="AQ11" s="6"/>
      <c r="AR11" s="6"/>
      <c r="AS11" s="6"/>
      <c r="AT11" s="6"/>
    </row>
    <row r="12" spans="1:46" ht="49" x14ac:dyDescent="0.2">
      <c r="A12" s="53" t="s">
        <v>124</v>
      </c>
      <c r="B12" s="2" t="s">
        <v>107</v>
      </c>
      <c r="C12" s="15">
        <v>44067</v>
      </c>
      <c r="D12" s="35">
        <f t="shared" si="0"/>
        <v>6</v>
      </c>
      <c r="E12" s="18">
        <v>3</v>
      </c>
      <c r="F12" s="15" t="s">
        <v>44</v>
      </c>
      <c r="G12" s="80" t="s">
        <v>120</v>
      </c>
      <c r="H12" s="15" t="s">
        <v>44</v>
      </c>
      <c r="I12" s="8" t="s">
        <v>84</v>
      </c>
      <c r="J12" s="8" t="s">
        <v>68</v>
      </c>
      <c r="K12" s="8" t="s">
        <v>110</v>
      </c>
      <c r="L12" s="8" t="s">
        <v>68</v>
      </c>
      <c r="M12" s="8" t="s">
        <v>51</v>
      </c>
      <c r="N12" s="8" t="s">
        <v>84</v>
      </c>
      <c r="O12" s="8" t="s">
        <v>84</v>
      </c>
      <c r="P12" s="8" t="s">
        <v>53</v>
      </c>
      <c r="Q12" s="53" t="s">
        <v>70</v>
      </c>
      <c r="R12" s="53" t="s">
        <v>87</v>
      </c>
      <c r="S12" s="53" t="s">
        <v>111</v>
      </c>
      <c r="T12" s="8"/>
      <c r="U12" s="8" t="s">
        <v>121</v>
      </c>
      <c r="V12" s="53" t="s">
        <v>56</v>
      </c>
      <c r="W12" s="80" t="s">
        <v>90</v>
      </c>
      <c r="X12" s="8" t="s">
        <v>44</v>
      </c>
      <c r="Y12" s="8" t="s">
        <v>72</v>
      </c>
      <c r="Z12" s="8" t="s">
        <v>103</v>
      </c>
      <c r="AA12" s="8" t="s">
        <v>69</v>
      </c>
      <c r="AB12" s="6"/>
      <c r="AC12" s="41"/>
      <c r="AD12" s="75" t="s">
        <v>112</v>
      </c>
      <c r="AE12" s="75" t="s">
        <v>113</v>
      </c>
      <c r="AF12" s="86" t="s">
        <v>114</v>
      </c>
      <c r="AG12" s="8" t="s">
        <v>115</v>
      </c>
      <c r="AH12" s="8" t="s">
        <v>116</v>
      </c>
      <c r="AI12" s="2" t="s">
        <v>82</v>
      </c>
      <c r="AJ12" s="6" t="s">
        <v>62</v>
      </c>
      <c r="AK12" s="49" t="s">
        <v>62</v>
      </c>
      <c r="AL12" s="49" t="s">
        <v>62</v>
      </c>
      <c r="AM12" s="67" t="s">
        <v>117</v>
      </c>
      <c r="AN12" s="50" t="s">
        <v>118</v>
      </c>
      <c r="AO12" s="71"/>
      <c r="AP12" s="42"/>
      <c r="AQ12" s="6"/>
      <c r="AR12" s="6"/>
      <c r="AS12" s="6"/>
      <c r="AT12" s="6"/>
    </row>
    <row r="13" spans="1:46" ht="49" x14ac:dyDescent="0.2">
      <c r="A13" s="53" t="s">
        <v>125</v>
      </c>
      <c r="B13" s="2" t="s">
        <v>107</v>
      </c>
      <c r="C13" s="15">
        <v>44956</v>
      </c>
      <c r="D13" s="35">
        <f t="shared" si="0"/>
        <v>3</v>
      </c>
      <c r="E13" s="18">
        <v>3</v>
      </c>
      <c r="F13" s="15" t="s">
        <v>44</v>
      </c>
      <c r="G13" s="80" t="s">
        <v>120</v>
      </c>
      <c r="H13" s="15" t="s">
        <v>44</v>
      </c>
      <c r="I13" s="8" t="s">
        <v>84</v>
      </c>
      <c r="J13" s="8" t="s">
        <v>68</v>
      </c>
      <c r="K13" s="8"/>
      <c r="L13" s="8"/>
      <c r="M13" s="8" t="s">
        <v>51</v>
      </c>
      <c r="N13" s="8"/>
      <c r="O13" s="8"/>
      <c r="P13" s="8" t="s">
        <v>53</v>
      </c>
      <c r="Q13" s="53" t="s">
        <v>70</v>
      </c>
      <c r="R13" s="53" t="s">
        <v>87</v>
      </c>
      <c r="S13" s="53" t="s">
        <v>111</v>
      </c>
      <c r="T13" s="8"/>
      <c r="U13" s="8" t="s">
        <v>126</v>
      </c>
      <c r="V13" s="53" t="s">
        <v>56</v>
      </c>
      <c r="W13" s="80" t="s">
        <v>90</v>
      </c>
      <c r="X13" s="8" t="s">
        <v>46</v>
      </c>
      <c r="Y13" s="8" t="s">
        <v>72</v>
      </c>
      <c r="Z13" s="8" t="s">
        <v>73</v>
      </c>
      <c r="AA13" s="8">
        <v>46199</v>
      </c>
      <c r="AB13" s="6"/>
      <c r="AC13" s="41"/>
      <c r="AD13" s="75" t="s">
        <v>112</v>
      </c>
      <c r="AE13" s="75" t="s">
        <v>113</v>
      </c>
      <c r="AF13" s="86" t="s">
        <v>114</v>
      </c>
      <c r="AG13" s="8" t="s">
        <v>115</v>
      </c>
      <c r="AH13" s="8" t="s">
        <v>116</v>
      </c>
      <c r="AI13" s="2" t="s">
        <v>82</v>
      </c>
      <c r="AJ13" s="47" t="s">
        <v>62</v>
      </c>
      <c r="AK13" s="46" t="s">
        <v>51</v>
      </c>
      <c r="AL13" s="46" t="s">
        <v>51</v>
      </c>
      <c r="AM13" s="68" t="s">
        <v>51</v>
      </c>
      <c r="AN13" s="50" t="s">
        <v>118</v>
      </c>
      <c r="AO13" s="71"/>
      <c r="AP13" s="42"/>
      <c r="AQ13" s="6"/>
      <c r="AR13" s="6"/>
      <c r="AS13" s="6"/>
      <c r="AT13" s="6"/>
    </row>
    <row r="14" spans="1:46" ht="49" x14ac:dyDescent="0.2">
      <c r="A14" s="53" t="s">
        <v>127</v>
      </c>
      <c r="B14" s="2" t="s">
        <v>128</v>
      </c>
      <c r="C14" s="15">
        <v>44627</v>
      </c>
      <c r="D14" s="35">
        <f t="shared" si="0"/>
        <v>4</v>
      </c>
      <c r="E14" s="18">
        <v>4</v>
      </c>
      <c r="F14" s="15" t="s">
        <v>44</v>
      </c>
      <c r="G14" s="80" t="s">
        <v>120</v>
      </c>
      <c r="H14" s="15" t="s">
        <v>44</v>
      </c>
      <c r="I14" s="8" t="s">
        <v>84</v>
      </c>
      <c r="J14" s="8" t="s">
        <v>68</v>
      </c>
      <c r="K14" s="8"/>
      <c r="L14" s="8"/>
      <c r="M14" s="8" t="s">
        <v>51</v>
      </c>
      <c r="N14" s="8"/>
      <c r="O14" s="8"/>
      <c r="P14" s="8" t="s">
        <v>53</v>
      </c>
      <c r="Q14" s="53" t="s">
        <v>86</v>
      </c>
      <c r="R14" s="53" t="s">
        <v>55</v>
      </c>
      <c r="S14" s="53" t="s">
        <v>55</v>
      </c>
      <c r="T14" s="8"/>
      <c r="U14" s="8" t="s">
        <v>89</v>
      </c>
      <c r="V14" s="53" t="s">
        <v>56</v>
      </c>
      <c r="W14" s="80" t="s">
        <v>90</v>
      </c>
      <c r="X14" s="8" t="s">
        <v>91</v>
      </c>
      <c r="Y14" s="8" t="s">
        <v>69</v>
      </c>
      <c r="Z14" s="8" t="s">
        <v>69</v>
      </c>
      <c r="AA14" s="8" t="s">
        <v>69</v>
      </c>
      <c r="AB14" s="6"/>
      <c r="AC14" s="41"/>
      <c r="AD14" s="75" t="s">
        <v>129</v>
      </c>
      <c r="AE14" s="75" t="s">
        <v>113</v>
      </c>
      <c r="AF14" s="86" t="s">
        <v>130</v>
      </c>
      <c r="AG14" s="8" t="s">
        <v>131</v>
      </c>
      <c r="AH14" s="8" t="s">
        <v>132</v>
      </c>
      <c r="AI14" s="2" t="s">
        <v>107</v>
      </c>
      <c r="AJ14" s="48" t="s">
        <v>51</v>
      </c>
      <c r="AK14" s="46" t="s">
        <v>51</v>
      </c>
      <c r="AL14" s="46" t="s">
        <v>51</v>
      </c>
      <c r="AM14" s="68" t="s">
        <v>51</v>
      </c>
      <c r="AN14" s="50" t="s">
        <v>51</v>
      </c>
      <c r="AO14" s="71"/>
      <c r="AP14" s="42"/>
      <c r="AQ14" s="6"/>
      <c r="AR14" s="6"/>
      <c r="AS14" s="6"/>
      <c r="AT14" s="6"/>
    </row>
    <row r="15" spans="1:46" ht="49" x14ac:dyDescent="0.2">
      <c r="A15" s="53" t="s">
        <v>133</v>
      </c>
      <c r="B15" s="2" t="s">
        <v>128</v>
      </c>
      <c r="C15" s="15">
        <v>44844</v>
      </c>
      <c r="D15" s="35">
        <f t="shared" si="0"/>
        <v>3</v>
      </c>
      <c r="E15" s="18">
        <v>3</v>
      </c>
      <c r="F15" s="15" t="s">
        <v>44</v>
      </c>
      <c r="G15" s="80" t="s">
        <v>120</v>
      </c>
      <c r="H15" s="15" t="s">
        <v>44</v>
      </c>
      <c r="I15" s="8" t="s">
        <v>84</v>
      </c>
      <c r="J15" s="8" t="s">
        <v>68</v>
      </c>
      <c r="K15" s="8"/>
      <c r="L15" s="8"/>
      <c r="M15" s="8" t="s">
        <v>51</v>
      </c>
      <c r="N15" s="8"/>
      <c r="O15" s="8"/>
      <c r="P15" s="8" t="s">
        <v>53</v>
      </c>
      <c r="Q15" s="53" t="s">
        <v>70</v>
      </c>
      <c r="R15" s="53" t="s">
        <v>55</v>
      </c>
      <c r="S15" s="53" t="s">
        <v>55</v>
      </c>
      <c r="T15" s="8"/>
      <c r="U15" s="8" t="s">
        <v>134</v>
      </c>
      <c r="V15" s="53" t="s">
        <v>56</v>
      </c>
      <c r="W15" s="80" t="s">
        <v>90</v>
      </c>
      <c r="X15" s="8" t="s">
        <v>44</v>
      </c>
      <c r="Y15" s="8" t="s">
        <v>72</v>
      </c>
      <c r="Z15" s="8" t="s">
        <v>103</v>
      </c>
      <c r="AA15" s="8" t="s">
        <v>69</v>
      </c>
      <c r="AB15" s="6"/>
      <c r="AC15" s="41"/>
      <c r="AD15" s="75" t="s">
        <v>129</v>
      </c>
      <c r="AE15" s="75" t="s">
        <v>113</v>
      </c>
      <c r="AF15" s="86" t="s">
        <v>130</v>
      </c>
      <c r="AG15" s="8" t="s">
        <v>131</v>
      </c>
      <c r="AH15" s="8" t="s">
        <v>132</v>
      </c>
      <c r="AI15" s="2" t="s">
        <v>107</v>
      </c>
      <c r="AJ15" s="48" t="s">
        <v>51</v>
      </c>
      <c r="AK15" s="46" t="s">
        <v>51</v>
      </c>
      <c r="AL15" s="46" t="s">
        <v>51</v>
      </c>
      <c r="AM15" s="68" t="s">
        <v>51</v>
      </c>
      <c r="AN15" s="50" t="s">
        <v>51</v>
      </c>
      <c r="AO15" s="71"/>
      <c r="AP15" s="42"/>
      <c r="AQ15" s="6"/>
      <c r="AR15" s="6"/>
      <c r="AS15" s="6"/>
      <c r="AT15" s="6"/>
    </row>
    <row r="16" spans="1:46" s="61" customFormat="1" x14ac:dyDescent="0.2">
      <c r="A16" s="55" t="s">
        <v>54</v>
      </c>
      <c r="B16" s="54" t="s">
        <v>128</v>
      </c>
      <c r="C16" s="56">
        <v>44956</v>
      </c>
      <c r="D16" s="57">
        <f t="shared" si="0"/>
        <v>3</v>
      </c>
      <c r="E16" s="58"/>
      <c r="F16" s="56"/>
      <c r="G16" s="56"/>
      <c r="H16" s="5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59"/>
      <c r="AC16" s="60"/>
      <c r="AD16" s="75"/>
      <c r="AE16" s="75"/>
      <c r="AF16" s="86"/>
      <c r="AG16" s="8"/>
      <c r="AH16" s="8"/>
      <c r="AI16" s="54"/>
      <c r="AJ16" s="62"/>
      <c r="AK16" s="63"/>
      <c r="AL16" s="63"/>
      <c r="AM16" s="69"/>
      <c r="AN16" s="64"/>
      <c r="AO16" s="72"/>
      <c r="AP16" s="65"/>
      <c r="AQ16" s="59"/>
      <c r="AR16" s="59"/>
      <c r="AS16" s="59"/>
      <c r="AT16" s="59"/>
    </row>
    <row r="17" spans="1:46" ht="49" x14ac:dyDescent="0.2">
      <c r="A17" s="53" t="s">
        <v>135</v>
      </c>
      <c r="B17" s="2" t="s">
        <v>128</v>
      </c>
      <c r="C17" s="15">
        <v>44963</v>
      </c>
      <c r="D17" s="35">
        <f t="shared" si="0"/>
        <v>3</v>
      </c>
      <c r="E17" s="18">
        <v>3</v>
      </c>
      <c r="F17" s="15" t="s">
        <v>44</v>
      </c>
      <c r="G17" s="81" t="s">
        <v>120</v>
      </c>
      <c r="H17" s="15" t="s">
        <v>44</v>
      </c>
      <c r="I17" s="8" t="s">
        <v>84</v>
      </c>
      <c r="J17" s="8" t="s">
        <v>68</v>
      </c>
      <c r="K17" s="8"/>
      <c r="L17" s="8"/>
      <c r="M17" s="8" t="s">
        <v>51</v>
      </c>
      <c r="N17" s="8"/>
      <c r="O17" s="8"/>
      <c r="P17" s="8" t="s">
        <v>53</v>
      </c>
      <c r="Q17" s="8" t="s">
        <v>70</v>
      </c>
      <c r="R17" s="53" t="s">
        <v>55</v>
      </c>
      <c r="S17" s="53" t="s">
        <v>55</v>
      </c>
      <c r="T17" s="8"/>
      <c r="U17" s="8" t="s">
        <v>136</v>
      </c>
      <c r="V17" s="53" t="s">
        <v>56</v>
      </c>
      <c r="W17" s="80" t="s">
        <v>90</v>
      </c>
      <c r="X17" s="8" t="s">
        <v>44</v>
      </c>
      <c r="Y17" s="8" t="s">
        <v>72</v>
      </c>
      <c r="Z17" s="8" t="s">
        <v>103</v>
      </c>
      <c r="AA17" s="8" t="s">
        <v>69</v>
      </c>
      <c r="AB17" s="6"/>
      <c r="AC17" s="41"/>
      <c r="AD17" s="75" t="s">
        <v>129</v>
      </c>
      <c r="AE17" s="75" t="s">
        <v>113</v>
      </c>
      <c r="AF17" s="86" t="s">
        <v>130</v>
      </c>
      <c r="AG17" s="8" t="s">
        <v>131</v>
      </c>
      <c r="AH17" s="8" t="s">
        <v>132</v>
      </c>
      <c r="AI17" s="2" t="s">
        <v>107</v>
      </c>
      <c r="AJ17" s="48" t="s">
        <v>51</v>
      </c>
      <c r="AK17" s="46" t="s">
        <v>51</v>
      </c>
      <c r="AL17" s="46" t="s">
        <v>51</v>
      </c>
      <c r="AM17" s="68" t="s">
        <v>51</v>
      </c>
      <c r="AN17" s="50" t="s">
        <v>51</v>
      </c>
      <c r="AO17" s="51"/>
      <c r="AP17" s="6"/>
      <c r="AQ17" s="6"/>
      <c r="AR17" s="6"/>
      <c r="AS17" s="6"/>
      <c r="AT17" s="6"/>
    </row>
    <row r="18" spans="1:46" ht="49" x14ac:dyDescent="0.2">
      <c r="A18" s="53" t="s">
        <v>137</v>
      </c>
      <c r="B18" s="2" t="s">
        <v>128</v>
      </c>
      <c r="C18" s="15">
        <v>45033</v>
      </c>
      <c r="D18" s="35">
        <f t="shared" si="0"/>
        <v>3</v>
      </c>
      <c r="E18" s="18">
        <v>3</v>
      </c>
      <c r="F18" s="15" t="s">
        <v>44</v>
      </c>
      <c r="G18" s="80" t="s">
        <v>120</v>
      </c>
      <c r="H18" s="15" t="s">
        <v>44</v>
      </c>
      <c r="I18" s="8" t="s">
        <v>84</v>
      </c>
      <c r="J18" s="8" t="s">
        <v>68</v>
      </c>
      <c r="K18" s="8"/>
      <c r="L18" s="8"/>
      <c r="M18" s="8" t="s">
        <v>51</v>
      </c>
      <c r="N18" s="8"/>
      <c r="O18" s="8"/>
      <c r="P18" s="8" t="s">
        <v>53</v>
      </c>
      <c r="Q18" s="8" t="s">
        <v>70</v>
      </c>
      <c r="R18" s="53" t="s">
        <v>55</v>
      </c>
      <c r="S18" s="53" t="s">
        <v>55</v>
      </c>
      <c r="T18" s="8"/>
      <c r="U18" s="8" t="s">
        <v>138</v>
      </c>
      <c r="V18" s="53" t="s">
        <v>56</v>
      </c>
      <c r="W18" s="80" t="s">
        <v>90</v>
      </c>
      <c r="X18" s="8" t="s">
        <v>44</v>
      </c>
      <c r="Y18" s="8" t="s">
        <v>72</v>
      </c>
      <c r="Z18" s="8" t="s">
        <v>103</v>
      </c>
      <c r="AA18" s="8" t="s">
        <v>69</v>
      </c>
      <c r="AB18" s="6"/>
      <c r="AC18" s="41"/>
      <c r="AD18" s="75" t="s">
        <v>129</v>
      </c>
      <c r="AE18" s="75" t="s">
        <v>113</v>
      </c>
      <c r="AF18" s="86" t="s">
        <v>130</v>
      </c>
      <c r="AG18" s="8" t="s">
        <v>131</v>
      </c>
      <c r="AH18" s="8" t="s">
        <v>132</v>
      </c>
      <c r="AI18" s="2" t="s">
        <v>107</v>
      </c>
      <c r="AJ18" s="48" t="s">
        <v>51</v>
      </c>
      <c r="AK18" s="46" t="s">
        <v>51</v>
      </c>
      <c r="AL18" s="46" t="s">
        <v>51</v>
      </c>
      <c r="AM18" s="68" t="s">
        <v>51</v>
      </c>
      <c r="AN18" s="50" t="s">
        <v>51</v>
      </c>
      <c r="AO18" s="42"/>
      <c r="AP18" s="6"/>
      <c r="AQ18" s="6"/>
      <c r="AR18" s="6"/>
      <c r="AS18" s="6"/>
      <c r="AT18" s="6"/>
    </row>
    <row r="19" spans="1:46" ht="49" x14ac:dyDescent="0.2">
      <c r="A19" s="53" t="s">
        <v>139</v>
      </c>
      <c r="B19" s="2" t="s">
        <v>128</v>
      </c>
      <c r="C19" s="15">
        <v>45146</v>
      </c>
      <c r="D19" s="35">
        <f t="shared" si="0"/>
        <v>3</v>
      </c>
      <c r="E19" s="18">
        <v>2</v>
      </c>
      <c r="F19" s="15" t="s">
        <v>44</v>
      </c>
      <c r="G19" s="80" t="s">
        <v>120</v>
      </c>
      <c r="H19" s="15" t="s">
        <v>44</v>
      </c>
      <c r="I19" s="8" t="s">
        <v>84</v>
      </c>
      <c r="J19" s="8" t="s">
        <v>68</v>
      </c>
      <c r="K19" s="8"/>
      <c r="L19" s="8"/>
      <c r="M19" s="8" t="s">
        <v>51</v>
      </c>
      <c r="N19" s="8"/>
      <c r="O19" s="8"/>
      <c r="P19" s="8" t="s">
        <v>53</v>
      </c>
      <c r="Q19" s="8" t="s">
        <v>70</v>
      </c>
      <c r="R19" s="53" t="s">
        <v>55</v>
      </c>
      <c r="S19" s="53" t="s">
        <v>55</v>
      </c>
      <c r="T19" s="8"/>
      <c r="U19" s="8" t="s">
        <v>140</v>
      </c>
      <c r="V19" s="53" t="s">
        <v>56</v>
      </c>
      <c r="W19" s="80" t="s">
        <v>90</v>
      </c>
      <c r="X19" s="8" t="s">
        <v>44</v>
      </c>
      <c r="Y19" s="8" t="s">
        <v>72</v>
      </c>
      <c r="Z19" s="8" t="s">
        <v>103</v>
      </c>
      <c r="AA19" s="8" t="s">
        <v>69</v>
      </c>
      <c r="AB19" s="6"/>
      <c r="AC19" s="41"/>
      <c r="AD19" s="75" t="s">
        <v>129</v>
      </c>
      <c r="AE19" s="75" t="s">
        <v>113</v>
      </c>
      <c r="AF19" s="86" t="s">
        <v>130</v>
      </c>
      <c r="AG19" s="8" t="s">
        <v>131</v>
      </c>
      <c r="AH19" s="8" t="s">
        <v>132</v>
      </c>
      <c r="AI19" s="2" t="s">
        <v>107</v>
      </c>
      <c r="AJ19" s="48" t="s">
        <v>51</v>
      </c>
      <c r="AK19" s="46" t="s">
        <v>51</v>
      </c>
      <c r="AL19" s="46" t="s">
        <v>51</v>
      </c>
      <c r="AM19" s="68" t="s">
        <v>51</v>
      </c>
      <c r="AN19" s="50" t="s">
        <v>51</v>
      </c>
      <c r="AO19" s="42"/>
      <c r="AP19" s="6"/>
      <c r="AQ19" s="6"/>
      <c r="AR19" s="6"/>
      <c r="AS19" s="6"/>
      <c r="AT19" s="6"/>
    </row>
    <row r="20" spans="1:46" ht="49" x14ac:dyDescent="0.2">
      <c r="A20" s="53" t="s">
        <v>141</v>
      </c>
      <c r="B20" s="2" t="s">
        <v>128</v>
      </c>
      <c r="C20" s="15">
        <v>45299</v>
      </c>
      <c r="D20" s="35">
        <f t="shared" si="0"/>
        <v>2</v>
      </c>
      <c r="E20" s="18">
        <v>2</v>
      </c>
      <c r="F20" s="15" t="s">
        <v>44</v>
      </c>
      <c r="G20" s="80" t="s">
        <v>120</v>
      </c>
      <c r="H20" s="15" t="s">
        <v>44</v>
      </c>
      <c r="I20" s="8" t="s">
        <v>84</v>
      </c>
      <c r="J20" s="8" t="s">
        <v>68</v>
      </c>
      <c r="K20" s="8"/>
      <c r="L20" s="8"/>
      <c r="M20" s="8" t="s">
        <v>51</v>
      </c>
      <c r="N20" s="8"/>
      <c r="O20" s="8"/>
      <c r="P20" s="8" t="s">
        <v>53</v>
      </c>
      <c r="Q20" s="8" t="s">
        <v>70</v>
      </c>
      <c r="R20" s="53" t="s">
        <v>55</v>
      </c>
      <c r="S20" s="53" t="s">
        <v>55</v>
      </c>
      <c r="T20" s="8"/>
      <c r="U20" s="8" t="s">
        <v>140</v>
      </c>
      <c r="V20" s="53" t="s">
        <v>56</v>
      </c>
      <c r="W20" s="80" t="s">
        <v>90</v>
      </c>
      <c r="X20" s="8" t="s">
        <v>44</v>
      </c>
      <c r="Y20" s="8" t="s">
        <v>72</v>
      </c>
      <c r="Z20" s="8" t="s">
        <v>103</v>
      </c>
      <c r="AA20" s="8" t="s">
        <v>69</v>
      </c>
      <c r="AB20" s="6"/>
      <c r="AC20" s="41"/>
      <c r="AD20" s="75" t="s">
        <v>129</v>
      </c>
      <c r="AE20" s="75" t="s">
        <v>113</v>
      </c>
      <c r="AF20" s="86" t="s">
        <v>130</v>
      </c>
      <c r="AG20" s="8" t="s">
        <v>131</v>
      </c>
      <c r="AH20" s="8" t="s">
        <v>132</v>
      </c>
      <c r="AI20" s="2" t="s">
        <v>107</v>
      </c>
      <c r="AJ20" s="48" t="s">
        <v>51</v>
      </c>
      <c r="AK20" s="46" t="s">
        <v>51</v>
      </c>
      <c r="AL20" s="46" t="s">
        <v>51</v>
      </c>
      <c r="AM20" s="68" t="s">
        <v>51</v>
      </c>
      <c r="AN20" s="50" t="s">
        <v>51</v>
      </c>
      <c r="AO20" s="42"/>
      <c r="AP20" s="6"/>
      <c r="AQ20" s="6"/>
      <c r="AR20" s="6"/>
      <c r="AS20" s="6"/>
      <c r="AT20" s="6"/>
    </row>
    <row r="21" spans="1:46" ht="49" x14ac:dyDescent="0.2">
      <c r="A21" s="53" t="s">
        <v>142</v>
      </c>
      <c r="B21" s="2" t="s">
        <v>128</v>
      </c>
      <c r="C21" s="15">
        <v>45357</v>
      </c>
      <c r="D21" s="35">
        <f t="shared" si="0"/>
        <v>2</v>
      </c>
      <c r="E21" s="18">
        <v>2</v>
      </c>
      <c r="F21" s="15" t="s">
        <v>44</v>
      </c>
      <c r="G21" s="80" t="s">
        <v>120</v>
      </c>
      <c r="H21" s="15" t="s">
        <v>44</v>
      </c>
      <c r="I21" s="8" t="s">
        <v>84</v>
      </c>
      <c r="J21" s="8" t="s">
        <v>68</v>
      </c>
      <c r="K21" s="8"/>
      <c r="L21" s="8"/>
      <c r="M21" s="8" t="s">
        <v>51</v>
      </c>
      <c r="N21" s="8"/>
      <c r="O21" s="8"/>
      <c r="P21" s="8" t="s">
        <v>53</v>
      </c>
      <c r="Q21" s="8" t="s">
        <v>70</v>
      </c>
      <c r="R21" s="53" t="s">
        <v>55</v>
      </c>
      <c r="S21" s="53" t="s">
        <v>55</v>
      </c>
      <c r="T21" s="8"/>
      <c r="U21" s="8" t="s">
        <v>140</v>
      </c>
      <c r="V21" s="53" t="s">
        <v>56</v>
      </c>
      <c r="W21" s="80" t="s">
        <v>90</v>
      </c>
      <c r="X21" s="8" t="s">
        <v>44</v>
      </c>
      <c r="Y21" s="8" t="s">
        <v>72</v>
      </c>
      <c r="Z21" s="8" t="s">
        <v>103</v>
      </c>
      <c r="AA21" s="8" t="s">
        <v>69</v>
      </c>
      <c r="AB21" s="6"/>
      <c r="AC21" s="41"/>
      <c r="AD21" s="75" t="s">
        <v>129</v>
      </c>
      <c r="AE21" s="75" t="s">
        <v>113</v>
      </c>
      <c r="AF21" s="86" t="s">
        <v>130</v>
      </c>
      <c r="AG21" s="8" t="s">
        <v>131</v>
      </c>
      <c r="AH21" s="8" t="s">
        <v>132</v>
      </c>
      <c r="AI21" s="2" t="s">
        <v>107</v>
      </c>
      <c r="AJ21" s="48" t="s">
        <v>51</v>
      </c>
      <c r="AK21" s="46" t="s">
        <v>51</v>
      </c>
      <c r="AL21" s="46" t="s">
        <v>51</v>
      </c>
      <c r="AM21" s="68" t="s">
        <v>51</v>
      </c>
      <c r="AN21" s="50" t="s">
        <v>51</v>
      </c>
      <c r="AO21" s="42"/>
      <c r="AP21" s="6"/>
      <c r="AQ21" s="6"/>
      <c r="AR21" s="6"/>
      <c r="AS21" s="6"/>
      <c r="AT21" s="6"/>
    </row>
    <row r="22" spans="1:46" s="61" customFormat="1" x14ac:dyDescent="0.2">
      <c r="A22" s="55"/>
      <c r="B22" s="54" t="s">
        <v>128</v>
      </c>
      <c r="C22" s="56">
        <v>45628</v>
      </c>
      <c r="D22" s="57">
        <f t="shared" si="0"/>
        <v>1</v>
      </c>
      <c r="E22" s="58"/>
      <c r="F22" s="56"/>
      <c r="G22" s="56"/>
      <c r="H22" s="5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59"/>
      <c r="AC22" s="60"/>
      <c r="AD22" s="75"/>
      <c r="AE22" s="75"/>
      <c r="AF22" s="86"/>
      <c r="AG22" s="8"/>
      <c r="AH22" s="77"/>
      <c r="AI22" s="54"/>
      <c r="AJ22" s="62"/>
      <c r="AK22" s="63"/>
      <c r="AL22" s="63"/>
      <c r="AM22" s="69"/>
      <c r="AN22" s="64"/>
      <c r="AO22" s="65"/>
      <c r="AP22" s="59"/>
      <c r="AQ22" s="59"/>
      <c r="AR22" s="59"/>
      <c r="AS22" s="59"/>
      <c r="AT22" s="59"/>
    </row>
    <row r="23" spans="1:46" ht="49" x14ac:dyDescent="0.2">
      <c r="A23" s="53" t="s">
        <v>143</v>
      </c>
      <c r="B23" s="2" t="s">
        <v>128</v>
      </c>
      <c r="C23" s="15">
        <v>45663</v>
      </c>
      <c r="D23" s="35">
        <f t="shared" si="0"/>
        <v>1</v>
      </c>
      <c r="E23" s="18">
        <v>1</v>
      </c>
      <c r="F23" s="15" t="s">
        <v>44</v>
      </c>
      <c r="G23" s="81" t="s">
        <v>120</v>
      </c>
      <c r="H23" s="15" t="s">
        <v>44</v>
      </c>
      <c r="I23" s="8" t="s">
        <v>84</v>
      </c>
      <c r="J23" s="8" t="s">
        <v>68</v>
      </c>
      <c r="K23" s="8"/>
      <c r="L23" s="8"/>
      <c r="M23" s="8" t="s">
        <v>51</v>
      </c>
      <c r="N23" s="8"/>
      <c r="O23" s="8"/>
      <c r="P23" s="8" t="s">
        <v>53</v>
      </c>
      <c r="Q23" s="8" t="s">
        <v>70</v>
      </c>
      <c r="R23" s="53" t="s">
        <v>55</v>
      </c>
      <c r="S23" s="53" t="s">
        <v>55</v>
      </c>
      <c r="T23" s="8"/>
      <c r="U23" s="8" t="s">
        <v>136</v>
      </c>
      <c r="V23" s="53" t="s">
        <v>56</v>
      </c>
      <c r="W23" s="80" t="s">
        <v>90</v>
      </c>
      <c r="X23" s="8" t="s">
        <v>44</v>
      </c>
      <c r="Y23" s="8" t="s">
        <v>72</v>
      </c>
      <c r="Z23" s="8" t="s">
        <v>103</v>
      </c>
      <c r="AA23" s="8" t="s">
        <v>69</v>
      </c>
      <c r="AB23" s="6"/>
      <c r="AC23" s="41"/>
      <c r="AD23" s="75" t="s">
        <v>129</v>
      </c>
      <c r="AE23" s="75" t="s">
        <v>113</v>
      </c>
      <c r="AF23" s="86" t="s">
        <v>130</v>
      </c>
      <c r="AG23" s="76" t="s">
        <v>131</v>
      </c>
      <c r="AH23" s="75" t="s">
        <v>132</v>
      </c>
      <c r="AI23" s="74" t="s">
        <v>107</v>
      </c>
      <c r="AJ23" s="48" t="s">
        <v>51</v>
      </c>
      <c r="AK23" s="46" t="s">
        <v>51</v>
      </c>
      <c r="AL23" s="46" t="s">
        <v>51</v>
      </c>
      <c r="AM23" s="68" t="s">
        <v>51</v>
      </c>
      <c r="AN23" s="50" t="s">
        <v>51</v>
      </c>
      <c r="AO23" s="42"/>
      <c r="AP23" s="6"/>
      <c r="AQ23" s="6"/>
      <c r="AR23" s="6"/>
      <c r="AS23" s="6"/>
      <c r="AT23" s="6"/>
    </row>
    <row r="24" spans="1:46" ht="49" x14ac:dyDescent="0.2">
      <c r="A24" s="53" t="s">
        <v>144</v>
      </c>
      <c r="B24" s="2" t="s">
        <v>128</v>
      </c>
      <c r="C24" s="15">
        <v>45971</v>
      </c>
      <c r="D24" s="35">
        <f t="shared" si="0"/>
        <v>0</v>
      </c>
      <c r="E24" s="18">
        <v>0</v>
      </c>
      <c r="F24" s="15" t="s">
        <v>44</v>
      </c>
      <c r="G24" s="80" t="s">
        <v>120</v>
      </c>
      <c r="H24" s="15" t="s">
        <v>44</v>
      </c>
      <c r="I24" s="8" t="s">
        <v>84</v>
      </c>
      <c r="J24" s="8" t="s">
        <v>68</v>
      </c>
      <c r="K24" s="8"/>
      <c r="L24" s="8"/>
      <c r="M24" s="8" t="s">
        <v>51</v>
      </c>
      <c r="N24" s="8"/>
      <c r="O24" s="8"/>
      <c r="P24" s="8" t="s">
        <v>53</v>
      </c>
      <c r="Q24" s="8" t="s">
        <v>70</v>
      </c>
      <c r="R24" s="53" t="s">
        <v>55</v>
      </c>
      <c r="S24" s="53" t="s">
        <v>55</v>
      </c>
      <c r="T24" s="8"/>
      <c r="U24" s="8" t="s">
        <v>138</v>
      </c>
      <c r="V24" s="53" t="s">
        <v>56</v>
      </c>
      <c r="W24" s="80" t="s">
        <v>90</v>
      </c>
      <c r="X24" s="8" t="s">
        <v>44</v>
      </c>
      <c r="Y24" s="8" t="s">
        <v>72</v>
      </c>
      <c r="Z24" s="8" t="s">
        <v>103</v>
      </c>
      <c r="AA24" s="8" t="s">
        <v>69</v>
      </c>
      <c r="AB24" s="6"/>
      <c r="AC24" s="41"/>
      <c r="AD24" s="75" t="s">
        <v>129</v>
      </c>
      <c r="AE24" s="75" t="s">
        <v>113</v>
      </c>
      <c r="AF24" s="86" t="s">
        <v>130</v>
      </c>
      <c r="AG24" s="76" t="s">
        <v>131</v>
      </c>
      <c r="AH24" s="75" t="s">
        <v>132</v>
      </c>
      <c r="AI24" s="74" t="s">
        <v>107</v>
      </c>
      <c r="AJ24" s="48" t="s">
        <v>51</v>
      </c>
      <c r="AK24" s="46" t="s">
        <v>51</v>
      </c>
      <c r="AL24" s="46" t="s">
        <v>51</v>
      </c>
      <c r="AM24" s="68" t="s">
        <v>51</v>
      </c>
      <c r="AN24" s="50" t="s">
        <v>51</v>
      </c>
      <c r="AO24" s="42"/>
      <c r="AP24" s="6"/>
      <c r="AQ24" s="6"/>
      <c r="AR24" s="6"/>
      <c r="AS24" s="6"/>
      <c r="AT24" s="6"/>
    </row>
    <row r="25" spans="1:46" ht="49" x14ac:dyDescent="0.2">
      <c r="A25" s="53" t="s">
        <v>145</v>
      </c>
      <c r="B25" s="2" t="s">
        <v>128</v>
      </c>
      <c r="C25" s="15">
        <v>46027</v>
      </c>
      <c r="D25" s="35">
        <f t="shared" si="0"/>
        <v>0</v>
      </c>
      <c r="E25" s="18">
        <v>0</v>
      </c>
      <c r="F25" s="15" t="s">
        <v>44</v>
      </c>
      <c r="G25" s="80" t="s">
        <v>120</v>
      </c>
      <c r="H25" s="15" t="s">
        <v>44</v>
      </c>
      <c r="I25" s="8" t="s">
        <v>84</v>
      </c>
      <c r="J25" s="8" t="s">
        <v>68</v>
      </c>
      <c r="K25" s="8"/>
      <c r="L25" s="8"/>
      <c r="M25" s="8" t="s">
        <v>51</v>
      </c>
      <c r="N25" s="8"/>
      <c r="O25" s="8"/>
      <c r="P25" s="8" t="s">
        <v>53</v>
      </c>
      <c r="Q25" s="8" t="s">
        <v>70</v>
      </c>
      <c r="R25" s="53" t="s">
        <v>55</v>
      </c>
      <c r="S25" s="53" t="s">
        <v>55</v>
      </c>
      <c r="T25" s="8"/>
      <c r="U25" s="8" t="s">
        <v>140</v>
      </c>
      <c r="V25" s="53" t="s">
        <v>56</v>
      </c>
      <c r="W25" s="80" t="s">
        <v>90</v>
      </c>
      <c r="X25" s="8" t="s">
        <v>44</v>
      </c>
      <c r="Y25" s="8" t="s">
        <v>72</v>
      </c>
      <c r="Z25" s="8" t="s">
        <v>103</v>
      </c>
      <c r="AA25" s="8" t="s">
        <v>69</v>
      </c>
      <c r="AB25" s="6"/>
      <c r="AC25" s="41"/>
      <c r="AD25" s="8" t="s">
        <v>129</v>
      </c>
      <c r="AE25" s="8" t="s">
        <v>113</v>
      </c>
      <c r="AF25" s="8" t="s">
        <v>130</v>
      </c>
      <c r="AG25" s="76" t="s">
        <v>131</v>
      </c>
      <c r="AH25" s="75" t="s">
        <v>132</v>
      </c>
      <c r="AI25" s="74" t="s">
        <v>107</v>
      </c>
      <c r="AJ25" s="48" t="s">
        <v>51</v>
      </c>
      <c r="AK25" s="46" t="s">
        <v>51</v>
      </c>
      <c r="AL25" s="46" t="s">
        <v>51</v>
      </c>
      <c r="AM25" s="68" t="s">
        <v>51</v>
      </c>
      <c r="AN25" s="50" t="s">
        <v>51</v>
      </c>
      <c r="AO25" s="42"/>
      <c r="AP25" s="6"/>
      <c r="AQ25" s="6"/>
      <c r="AR25" s="6"/>
      <c r="AS25" s="6"/>
      <c r="AT25" s="6"/>
    </row>
    <row r="26" spans="1:46" ht="49" x14ac:dyDescent="0.2">
      <c r="A26" s="53" t="s">
        <v>146</v>
      </c>
      <c r="B26" s="2" t="s">
        <v>128</v>
      </c>
      <c r="C26" s="15">
        <v>46027</v>
      </c>
      <c r="D26" s="35">
        <f t="shared" si="0"/>
        <v>0</v>
      </c>
      <c r="E26" s="18">
        <v>0</v>
      </c>
      <c r="F26" s="15" t="s">
        <v>44</v>
      </c>
      <c r="G26" s="80" t="s">
        <v>120</v>
      </c>
      <c r="H26" s="15" t="s">
        <v>44</v>
      </c>
      <c r="I26" s="8" t="s">
        <v>84</v>
      </c>
      <c r="J26" s="8" t="s">
        <v>68</v>
      </c>
      <c r="K26" s="8"/>
      <c r="L26" s="8"/>
      <c r="M26" s="8" t="s">
        <v>51</v>
      </c>
      <c r="N26" s="8"/>
      <c r="O26" s="8"/>
      <c r="P26" s="8" t="s">
        <v>53</v>
      </c>
      <c r="Q26" s="8" t="s">
        <v>70</v>
      </c>
      <c r="R26" s="53" t="s">
        <v>55</v>
      </c>
      <c r="S26" s="53" t="s">
        <v>55</v>
      </c>
      <c r="T26" s="8"/>
      <c r="U26" s="8" t="s">
        <v>140</v>
      </c>
      <c r="V26" s="53" t="s">
        <v>56</v>
      </c>
      <c r="W26" s="80" t="s">
        <v>90</v>
      </c>
      <c r="X26" s="8" t="s">
        <v>44</v>
      </c>
      <c r="Y26" s="8" t="s">
        <v>72</v>
      </c>
      <c r="Z26" s="8" t="s">
        <v>103</v>
      </c>
      <c r="AA26" s="8" t="s">
        <v>69</v>
      </c>
      <c r="AB26" s="6"/>
      <c r="AC26" s="41"/>
      <c r="AD26" s="8" t="s">
        <v>129</v>
      </c>
      <c r="AE26" s="8" t="s">
        <v>113</v>
      </c>
      <c r="AF26" s="8" t="s">
        <v>130</v>
      </c>
      <c r="AG26" s="76" t="s">
        <v>131</v>
      </c>
      <c r="AH26" s="75" t="s">
        <v>132</v>
      </c>
      <c r="AI26" s="74" t="s">
        <v>107</v>
      </c>
      <c r="AJ26" s="48" t="s">
        <v>51</v>
      </c>
      <c r="AK26" s="46" t="s">
        <v>51</v>
      </c>
      <c r="AL26" s="46" t="s">
        <v>51</v>
      </c>
      <c r="AM26" s="68" t="s">
        <v>51</v>
      </c>
      <c r="AN26" s="50" t="s">
        <v>51</v>
      </c>
      <c r="AO26" s="42"/>
      <c r="AP26" s="6"/>
      <c r="AQ26" s="6"/>
      <c r="AR26" s="6"/>
      <c r="AS26" s="6"/>
      <c r="AT26" s="6"/>
    </row>
    <row r="27" spans="1:46" ht="25" x14ac:dyDescent="0.2">
      <c r="A27" s="53" t="s">
        <v>147</v>
      </c>
      <c r="B27" s="2" t="s">
        <v>148</v>
      </c>
      <c r="C27" s="15">
        <v>43256</v>
      </c>
      <c r="D27" s="35">
        <f t="shared" si="0"/>
        <v>8</v>
      </c>
      <c r="E27" s="18">
        <v>7</v>
      </c>
      <c r="F27" s="15" t="s">
        <v>44</v>
      </c>
      <c r="G27" s="80" t="s">
        <v>149</v>
      </c>
      <c r="H27" s="15" t="s">
        <v>44</v>
      </c>
      <c r="I27" s="8" t="s">
        <v>84</v>
      </c>
      <c r="J27" s="8" t="s">
        <v>48</v>
      </c>
      <c r="K27" s="8"/>
      <c r="L27" s="8"/>
      <c r="M27" s="8" t="s">
        <v>51</v>
      </c>
      <c r="N27" s="8"/>
      <c r="O27" s="8"/>
      <c r="P27" s="8" t="s">
        <v>53</v>
      </c>
      <c r="Q27" s="8" t="s">
        <v>70</v>
      </c>
      <c r="R27" s="53" t="s">
        <v>55</v>
      </c>
      <c r="S27" s="53" t="s">
        <v>55</v>
      </c>
      <c r="T27" s="8"/>
      <c r="U27" s="8"/>
      <c r="V27" s="53" t="s">
        <v>55</v>
      </c>
      <c r="W27" s="80" t="s">
        <v>55</v>
      </c>
      <c r="X27" s="8"/>
      <c r="Y27" s="8"/>
      <c r="Z27" s="8"/>
      <c r="AA27" s="8"/>
      <c r="AB27" s="6"/>
      <c r="AC27" s="41"/>
      <c r="AD27" s="8" t="s">
        <v>150</v>
      </c>
      <c r="AE27" s="8" t="s">
        <v>151</v>
      </c>
      <c r="AF27" s="8" t="s">
        <v>152</v>
      </c>
      <c r="AG27" s="76" t="s">
        <v>153</v>
      </c>
      <c r="AH27" s="75"/>
      <c r="AI27" s="74" t="s">
        <v>128</v>
      </c>
      <c r="AJ27" s="48" t="s">
        <v>51</v>
      </c>
      <c r="AK27" s="46" t="s">
        <v>51</v>
      </c>
      <c r="AL27" s="46" t="s">
        <v>51</v>
      </c>
      <c r="AM27" s="68" t="s">
        <v>51</v>
      </c>
      <c r="AN27" s="50" t="s">
        <v>51</v>
      </c>
      <c r="AO27" s="42"/>
      <c r="AP27" s="6"/>
      <c r="AQ27" s="6"/>
      <c r="AR27" s="6"/>
      <c r="AS27" s="6"/>
      <c r="AT27" s="6"/>
    </row>
  </sheetData>
  <phoneticPr fontId="4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5064-025C-4FEE-9D73-2CB231F29359}">
  <dimension ref="A1:M42"/>
  <sheetViews>
    <sheetView topLeftCell="A14" zoomScale="75" zoomScaleNormal="75" workbookViewId="0">
      <selection activeCell="G14" sqref="G14"/>
    </sheetView>
  </sheetViews>
  <sheetFormatPr baseColWidth="10" defaultColWidth="8.83203125" defaultRowHeight="15" x14ac:dyDescent="0.2"/>
  <cols>
    <col min="1" max="1" width="45.83203125" bestFit="1" customWidth="1"/>
    <col min="2" max="2" width="15.33203125" bestFit="1" customWidth="1"/>
    <col min="3" max="3" width="14.1640625" bestFit="1" customWidth="1"/>
    <col min="4" max="4" width="12.1640625" bestFit="1" customWidth="1"/>
    <col min="5" max="5" width="10.6640625" bestFit="1" customWidth="1"/>
    <col min="6" max="6" width="21.33203125" bestFit="1" customWidth="1"/>
    <col min="7" max="7" width="39" customWidth="1"/>
    <col min="8" max="8" width="37" customWidth="1"/>
    <col min="9" max="9" width="10.6640625" bestFit="1" customWidth="1"/>
    <col min="13" max="13" width="33.6640625" customWidth="1"/>
  </cols>
  <sheetData>
    <row r="1" spans="1:8" x14ac:dyDescent="0.2">
      <c r="G1" s="1"/>
    </row>
    <row r="2" spans="1:8" x14ac:dyDescent="0.2">
      <c r="A2" t="s">
        <v>154</v>
      </c>
    </row>
    <row r="3" spans="1:8" x14ac:dyDescent="0.2">
      <c r="A3" s="19" t="s">
        <v>155</v>
      </c>
      <c r="B3" s="19" t="s">
        <v>156</v>
      </c>
    </row>
    <row r="4" spans="1:8" x14ac:dyDescent="0.2">
      <c r="A4" s="19" t="s">
        <v>157</v>
      </c>
      <c r="B4" t="s">
        <v>46</v>
      </c>
      <c r="C4" t="s">
        <v>44</v>
      </c>
      <c r="D4" t="s">
        <v>158</v>
      </c>
      <c r="E4" t="s">
        <v>159</v>
      </c>
    </row>
    <row r="5" spans="1:8" x14ac:dyDescent="0.2">
      <c r="A5" s="20" t="s">
        <v>64</v>
      </c>
      <c r="B5">
        <v>1</v>
      </c>
      <c r="E5">
        <v>1</v>
      </c>
    </row>
    <row r="6" spans="1:8" x14ac:dyDescent="0.2">
      <c r="A6" s="20" t="s">
        <v>128</v>
      </c>
      <c r="C6">
        <v>13</v>
      </c>
      <c r="E6">
        <v>13</v>
      </c>
    </row>
    <row r="7" spans="1:8" ht="48" x14ac:dyDescent="0.2">
      <c r="A7" s="20" t="s">
        <v>82</v>
      </c>
      <c r="C7">
        <v>3</v>
      </c>
      <c r="E7">
        <v>3</v>
      </c>
      <c r="G7" s="23" t="s">
        <v>160</v>
      </c>
      <c r="H7" s="23" t="s">
        <v>161</v>
      </c>
    </row>
    <row r="8" spans="1:8" x14ac:dyDescent="0.2">
      <c r="A8" s="20" t="s">
        <v>42</v>
      </c>
      <c r="B8">
        <v>1</v>
      </c>
      <c r="E8">
        <v>1</v>
      </c>
    </row>
    <row r="9" spans="1:8" x14ac:dyDescent="0.2">
      <c r="A9" s="20" t="s">
        <v>107</v>
      </c>
      <c r="C9">
        <v>5</v>
      </c>
      <c r="E9">
        <v>5</v>
      </c>
    </row>
    <row r="10" spans="1:8" x14ac:dyDescent="0.2">
      <c r="A10" s="20" t="s">
        <v>148</v>
      </c>
      <c r="C10">
        <v>1</v>
      </c>
      <c r="E10">
        <v>1</v>
      </c>
    </row>
    <row r="11" spans="1:8" x14ac:dyDescent="0.2">
      <c r="A11" s="20" t="s">
        <v>159</v>
      </c>
      <c r="B11">
        <v>2</v>
      </c>
      <c r="C11">
        <v>22</v>
      </c>
      <c r="E11">
        <v>24</v>
      </c>
    </row>
    <row r="13" spans="1:8" x14ac:dyDescent="0.2">
      <c r="A13" s="20" t="s">
        <v>162</v>
      </c>
    </row>
    <row r="14" spans="1:8" x14ac:dyDescent="0.2">
      <c r="A14" s="19" t="s">
        <v>155</v>
      </c>
      <c r="B14" s="19" t="s">
        <v>156</v>
      </c>
    </row>
    <row r="15" spans="1:8" x14ac:dyDescent="0.2">
      <c r="A15" s="19" t="s">
        <v>157</v>
      </c>
      <c r="B15" t="s">
        <v>46</v>
      </c>
      <c r="C15" t="s">
        <v>44</v>
      </c>
      <c r="D15" t="s">
        <v>158</v>
      </c>
      <c r="E15" t="s">
        <v>159</v>
      </c>
    </row>
    <row r="16" spans="1:8" x14ac:dyDescent="0.2">
      <c r="A16" s="20" t="s">
        <v>64</v>
      </c>
      <c r="C16">
        <v>1</v>
      </c>
      <c r="E16">
        <v>1</v>
      </c>
    </row>
    <row r="17" spans="1:13" x14ac:dyDescent="0.2">
      <c r="A17" s="20" t="s">
        <v>128</v>
      </c>
      <c r="B17">
        <v>13</v>
      </c>
      <c r="E17">
        <v>13</v>
      </c>
    </row>
    <row r="18" spans="1:13" x14ac:dyDescent="0.2">
      <c r="A18" s="20" t="s">
        <v>82</v>
      </c>
      <c r="B18">
        <v>1</v>
      </c>
      <c r="C18">
        <v>2</v>
      </c>
      <c r="E18">
        <v>3</v>
      </c>
    </row>
    <row r="19" spans="1:13" x14ac:dyDescent="0.2">
      <c r="A19" s="20" t="s">
        <v>42</v>
      </c>
      <c r="C19">
        <v>1</v>
      </c>
      <c r="E19">
        <v>1</v>
      </c>
    </row>
    <row r="20" spans="1:13" x14ac:dyDescent="0.2">
      <c r="A20" s="20" t="s">
        <v>107</v>
      </c>
      <c r="B20">
        <v>5</v>
      </c>
      <c r="E20">
        <v>5</v>
      </c>
    </row>
    <row r="21" spans="1:13" x14ac:dyDescent="0.2">
      <c r="A21" s="20" t="s">
        <v>148</v>
      </c>
      <c r="B21">
        <v>1</v>
      </c>
      <c r="E21">
        <v>1</v>
      </c>
    </row>
    <row r="22" spans="1:13" x14ac:dyDescent="0.2">
      <c r="A22" s="20" t="s">
        <v>159</v>
      </c>
      <c r="B22">
        <v>20</v>
      </c>
      <c r="C22">
        <v>4</v>
      </c>
      <c r="E22">
        <v>24</v>
      </c>
    </row>
    <row r="24" spans="1:13" x14ac:dyDescent="0.2">
      <c r="A24" s="20" t="s">
        <v>163</v>
      </c>
    </row>
    <row r="25" spans="1:13" x14ac:dyDescent="0.2">
      <c r="A25" s="19" t="s">
        <v>155</v>
      </c>
      <c r="B25" s="19" t="s">
        <v>156</v>
      </c>
    </row>
    <row r="26" spans="1:13" x14ac:dyDescent="0.2">
      <c r="A26" s="19" t="s">
        <v>157</v>
      </c>
      <c r="B26" t="s">
        <v>64</v>
      </c>
      <c r="C26" t="s">
        <v>128</v>
      </c>
      <c r="D26" t="s">
        <v>82</v>
      </c>
      <c r="E26" t="s">
        <v>42</v>
      </c>
      <c r="F26" t="s">
        <v>107</v>
      </c>
      <c r="G26" t="s">
        <v>148</v>
      </c>
      <c r="H26" t="s">
        <v>159</v>
      </c>
    </row>
    <row r="27" spans="1:13" x14ac:dyDescent="0.2">
      <c r="A27" s="20" t="s">
        <v>47</v>
      </c>
      <c r="E27">
        <v>1</v>
      </c>
      <c r="H27">
        <v>1</v>
      </c>
    </row>
    <row r="28" spans="1:13" x14ac:dyDescent="0.2">
      <c r="A28" s="20" t="s">
        <v>84</v>
      </c>
      <c r="C28">
        <v>13</v>
      </c>
      <c r="D28">
        <v>1</v>
      </c>
      <c r="F28">
        <v>4</v>
      </c>
      <c r="G28">
        <v>1</v>
      </c>
      <c r="H28">
        <v>19</v>
      </c>
      <c r="K28" s="25"/>
      <c r="L28" s="10" t="s">
        <v>164</v>
      </c>
      <c r="M28" t="s">
        <v>165</v>
      </c>
    </row>
    <row r="29" spans="1:13" x14ac:dyDescent="0.2">
      <c r="A29" s="24" t="s">
        <v>166</v>
      </c>
      <c r="B29" s="25"/>
      <c r="C29" s="25"/>
      <c r="D29" s="25">
        <v>1</v>
      </c>
      <c r="H29">
        <v>1</v>
      </c>
    </row>
    <row r="30" spans="1:13" x14ac:dyDescent="0.2">
      <c r="A30" s="24" t="s">
        <v>167</v>
      </c>
      <c r="B30" s="25"/>
      <c r="C30" s="25"/>
      <c r="D30" s="25">
        <v>1</v>
      </c>
      <c r="H30">
        <v>1</v>
      </c>
    </row>
    <row r="31" spans="1:13" x14ac:dyDescent="0.2">
      <c r="A31" s="24" t="s">
        <v>168</v>
      </c>
      <c r="B31" s="25"/>
      <c r="C31" s="25"/>
      <c r="D31" s="25"/>
      <c r="E31" s="25"/>
      <c r="F31" s="25">
        <v>1</v>
      </c>
      <c r="H31">
        <v>1</v>
      </c>
    </row>
    <row r="32" spans="1:13" x14ac:dyDescent="0.2">
      <c r="A32" s="21">
        <v>49065</v>
      </c>
      <c r="B32">
        <v>1</v>
      </c>
      <c r="H32">
        <v>1</v>
      </c>
    </row>
    <row r="33" spans="1:13" x14ac:dyDescent="0.2">
      <c r="A33" s="20" t="s">
        <v>158</v>
      </c>
    </row>
    <row r="34" spans="1:13" x14ac:dyDescent="0.2">
      <c r="A34" s="20" t="s">
        <v>159</v>
      </c>
      <c r="B34">
        <v>1</v>
      </c>
      <c r="C34">
        <v>13</v>
      </c>
      <c r="D34">
        <v>3</v>
      </c>
      <c r="E34">
        <v>1</v>
      </c>
      <c r="F34">
        <v>5</v>
      </c>
      <c r="G34">
        <v>1</v>
      </c>
      <c r="H34">
        <v>24</v>
      </c>
    </row>
    <row r="36" spans="1:13" x14ac:dyDescent="0.2">
      <c r="A36" s="20" t="s">
        <v>169</v>
      </c>
    </row>
    <row r="37" spans="1:13" x14ac:dyDescent="0.2">
      <c r="A37" s="19" t="s">
        <v>155</v>
      </c>
      <c r="B37" s="19" t="s">
        <v>156</v>
      </c>
    </row>
    <row r="38" spans="1:13" x14ac:dyDescent="0.2">
      <c r="A38" s="19" t="s">
        <v>157</v>
      </c>
      <c r="B38" t="s">
        <v>64</v>
      </c>
      <c r="C38" t="s">
        <v>128</v>
      </c>
      <c r="D38" t="s">
        <v>82</v>
      </c>
      <c r="E38" t="s">
        <v>42</v>
      </c>
      <c r="F38" t="s">
        <v>107</v>
      </c>
      <c r="G38" t="s">
        <v>148</v>
      </c>
      <c r="H38" t="s">
        <v>159</v>
      </c>
    </row>
    <row r="39" spans="1:13" x14ac:dyDescent="0.2">
      <c r="A39" s="20" t="s">
        <v>68</v>
      </c>
      <c r="C39">
        <v>13</v>
      </c>
      <c r="F39">
        <v>5</v>
      </c>
      <c r="H39">
        <v>18</v>
      </c>
    </row>
    <row r="40" spans="1:13" ht="48" x14ac:dyDescent="0.2">
      <c r="A40" s="24" t="s">
        <v>48</v>
      </c>
      <c r="B40" s="25">
        <v>1</v>
      </c>
      <c r="D40" s="25">
        <v>3</v>
      </c>
      <c r="E40" s="25">
        <v>1</v>
      </c>
      <c r="G40" s="25">
        <v>1</v>
      </c>
      <c r="H40">
        <v>6</v>
      </c>
      <c r="K40" s="25"/>
      <c r="L40" s="10" t="s">
        <v>164</v>
      </c>
      <c r="M40" s="23" t="s">
        <v>170</v>
      </c>
    </row>
    <row r="41" spans="1:13" x14ac:dyDescent="0.2">
      <c r="A41" s="20" t="s">
        <v>158</v>
      </c>
    </row>
    <row r="42" spans="1:13" x14ac:dyDescent="0.2">
      <c r="A42" s="20" t="s">
        <v>159</v>
      </c>
      <c r="B42">
        <v>1</v>
      </c>
      <c r="C42">
        <v>13</v>
      </c>
      <c r="D42">
        <v>3</v>
      </c>
      <c r="E42">
        <v>1</v>
      </c>
      <c r="F42">
        <v>5</v>
      </c>
      <c r="G42">
        <v>1</v>
      </c>
      <c r="H42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58E1-26B5-4FA2-BFE3-D7DE99C8344A}">
  <dimension ref="A1:D7"/>
  <sheetViews>
    <sheetView workbookViewId="0">
      <selection sqref="A1:D7"/>
    </sheetView>
  </sheetViews>
  <sheetFormatPr baseColWidth="10" defaultColWidth="8.83203125" defaultRowHeight="15" x14ac:dyDescent="0.2"/>
  <cols>
    <col min="1" max="1" width="29.33203125" bestFit="1" customWidth="1"/>
    <col min="2" max="2" width="37.5" bestFit="1" customWidth="1"/>
    <col min="3" max="3" width="77" bestFit="1" customWidth="1"/>
    <col min="4" max="4" width="52.1640625" bestFit="1" customWidth="1"/>
  </cols>
  <sheetData>
    <row r="1" spans="1:4" x14ac:dyDescent="0.2">
      <c r="A1" s="22" t="s">
        <v>171</v>
      </c>
      <c r="B1" s="22" t="s">
        <v>172</v>
      </c>
      <c r="C1" s="22" t="s">
        <v>31</v>
      </c>
      <c r="D1" s="22" t="s">
        <v>173</v>
      </c>
    </row>
    <row r="2" spans="1:4" x14ac:dyDescent="0.2">
      <c r="A2" s="10" t="s">
        <v>174</v>
      </c>
      <c r="B2" s="10" t="s">
        <v>58</v>
      </c>
      <c r="C2" s="10" t="s">
        <v>59</v>
      </c>
      <c r="D2" s="10" t="s">
        <v>60</v>
      </c>
    </row>
    <row r="3" spans="1:4" x14ac:dyDescent="0.2">
      <c r="A3" s="10" t="s">
        <v>175</v>
      </c>
      <c r="B3" s="10" t="s">
        <v>74</v>
      </c>
      <c r="C3" s="10" t="s">
        <v>75</v>
      </c>
      <c r="D3" s="10" t="s">
        <v>176</v>
      </c>
    </row>
    <row r="4" spans="1:4" x14ac:dyDescent="0.2">
      <c r="A4" s="10" t="s">
        <v>177</v>
      </c>
      <c r="B4" s="10" t="s">
        <v>92</v>
      </c>
      <c r="C4" s="10" t="s">
        <v>93</v>
      </c>
      <c r="D4" s="10" t="s">
        <v>94</v>
      </c>
    </row>
    <row r="5" spans="1:4" x14ac:dyDescent="0.2">
      <c r="A5" s="10" t="s">
        <v>178</v>
      </c>
      <c r="B5" s="10" t="s">
        <v>112</v>
      </c>
      <c r="C5" s="10" t="s">
        <v>113</v>
      </c>
      <c r="D5" s="10" t="s">
        <v>114</v>
      </c>
    </row>
    <row r="6" spans="1:4" x14ac:dyDescent="0.2">
      <c r="A6" s="10" t="s">
        <v>179</v>
      </c>
      <c r="B6" s="10" t="s">
        <v>129</v>
      </c>
      <c r="C6" s="10" t="s">
        <v>113</v>
      </c>
      <c r="D6" s="10" t="s">
        <v>130</v>
      </c>
    </row>
    <row r="7" spans="1:4" x14ac:dyDescent="0.2">
      <c r="A7" s="10" t="s">
        <v>180</v>
      </c>
      <c r="B7" s="10" t="s">
        <v>150</v>
      </c>
      <c r="C7" s="10" t="s">
        <v>151</v>
      </c>
      <c r="D7" s="10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4604-78CD-4728-AA7D-574CD0CC103B}">
  <dimension ref="A1:N25"/>
  <sheetViews>
    <sheetView topLeftCell="J1" workbookViewId="0">
      <selection activeCell="N1" sqref="N1:N6"/>
    </sheetView>
  </sheetViews>
  <sheetFormatPr baseColWidth="10" defaultColWidth="8.83203125" defaultRowHeight="15" x14ac:dyDescent="0.2"/>
  <cols>
    <col min="1" max="1" width="11.33203125" bestFit="1" customWidth="1"/>
    <col min="2" max="2" width="21.1640625" bestFit="1" customWidth="1"/>
    <col min="3" max="3" width="18.5" bestFit="1" customWidth="1"/>
    <col min="4" max="4" width="13.6640625" bestFit="1" customWidth="1"/>
    <col min="5" max="5" width="14.5" bestFit="1" customWidth="1"/>
    <col min="6" max="6" width="20.33203125" customWidth="1"/>
    <col min="7" max="7" width="46.5" style="25" bestFit="1" customWidth="1"/>
    <col min="8" max="8" width="20.33203125" style="25" bestFit="1" customWidth="1"/>
    <col min="9" max="9" width="19.5" bestFit="1" customWidth="1"/>
    <col min="14" max="14" width="25.83203125" bestFit="1" customWidth="1"/>
  </cols>
  <sheetData>
    <row r="1" spans="1:14" x14ac:dyDescent="0.2">
      <c r="A1" s="22" t="s">
        <v>181</v>
      </c>
      <c r="B1" s="22" t="s">
        <v>182</v>
      </c>
      <c r="C1" s="22" t="s">
        <v>6</v>
      </c>
      <c r="D1" s="22" t="s">
        <v>183</v>
      </c>
      <c r="E1" s="22" t="s">
        <v>184</v>
      </c>
      <c r="F1" s="22" t="s">
        <v>185</v>
      </c>
      <c r="G1" s="26" t="s">
        <v>35</v>
      </c>
      <c r="H1" s="26" t="s">
        <v>186</v>
      </c>
      <c r="I1" s="22" t="s">
        <v>187</v>
      </c>
      <c r="N1" t="s">
        <v>188</v>
      </c>
    </row>
    <row r="2" spans="1:14" x14ac:dyDescent="0.2">
      <c r="A2" s="13" t="s">
        <v>189</v>
      </c>
      <c r="B2" s="10" t="s">
        <v>42</v>
      </c>
      <c r="C2" s="10">
        <v>1</v>
      </c>
      <c r="D2" s="10" t="s">
        <v>44</v>
      </c>
      <c r="E2" s="10" t="s">
        <v>46</v>
      </c>
      <c r="F2" t="s">
        <v>61</v>
      </c>
      <c r="G2" s="27" t="s">
        <v>51</v>
      </c>
      <c r="H2" s="27" t="s">
        <v>51</v>
      </c>
      <c r="I2" s="10" t="s">
        <v>190</v>
      </c>
      <c r="N2" s="79" t="s">
        <v>191</v>
      </c>
    </row>
    <row r="3" spans="1:14" x14ac:dyDescent="0.2">
      <c r="A3" s="13" t="s">
        <v>192</v>
      </c>
      <c r="B3" s="10" t="s">
        <v>64</v>
      </c>
      <c r="C3" s="10">
        <v>1</v>
      </c>
      <c r="D3" s="10" t="s">
        <v>44</v>
      </c>
      <c r="E3" s="10" t="s">
        <v>46</v>
      </c>
      <c r="F3" t="s">
        <v>77</v>
      </c>
      <c r="G3" s="27" t="s">
        <v>174</v>
      </c>
      <c r="H3" s="27" t="s">
        <v>193</v>
      </c>
      <c r="I3" s="10" t="s">
        <v>194</v>
      </c>
      <c r="N3" s="79" t="s">
        <v>195</v>
      </c>
    </row>
    <row r="4" spans="1:14" x14ac:dyDescent="0.2">
      <c r="A4" s="13" t="s">
        <v>196</v>
      </c>
      <c r="B4" s="10" t="s">
        <v>82</v>
      </c>
      <c r="C4" s="10">
        <v>13</v>
      </c>
      <c r="D4" s="10" t="s">
        <v>46</v>
      </c>
      <c r="E4" s="10" t="s">
        <v>44</v>
      </c>
      <c r="F4" t="s">
        <v>95</v>
      </c>
      <c r="G4" s="27" t="s">
        <v>175</v>
      </c>
      <c r="H4" s="27" t="s">
        <v>193</v>
      </c>
      <c r="I4" s="10" t="s">
        <v>197</v>
      </c>
      <c r="N4" s="79" t="s">
        <v>198</v>
      </c>
    </row>
    <row r="5" spans="1:14" x14ac:dyDescent="0.2">
      <c r="A5" s="13" t="s">
        <v>199</v>
      </c>
      <c r="B5" s="10" t="s">
        <v>82</v>
      </c>
      <c r="C5" s="10">
        <v>9</v>
      </c>
      <c r="D5" s="10" t="s">
        <v>44</v>
      </c>
      <c r="E5" s="10" t="s">
        <v>44</v>
      </c>
      <c r="F5" t="s">
        <v>95</v>
      </c>
      <c r="G5" s="27" t="s">
        <v>175</v>
      </c>
      <c r="H5" s="27" t="s">
        <v>193</v>
      </c>
      <c r="I5" s="10" t="s">
        <v>84</v>
      </c>
      <c r="N5" s="79" t="s">
        <v>200</v>
      </c>
    </row>
    <row r="6" spans="1:14" x14ac:dyDescent="0.2">
      <c r="A6" s="13" t="s">
        <v>201</v>
      </c>
      <c r="B6" s="10" t="s">
        <v>82</v>
      </c>
      <c r="C6" s="10">
        <v>12</v>
      </c>
      <c r="D6" s="10" t="s">
        <v>44</v>
      </c>
      <c r="E6" s="10" t="s">
        <v>44</v>
      </c>
      <c r="F6" t="s">
        <v>95</v>
      </c>
      <c r="G6" s="27" t="s">
        <v>175</v>
      </c>
      <c r="H6" s="27" t="s">
        <v>193</v>
      </c>
      <c r="I6" s="10" t="s">
        <v>202</v>
      </c>
      <c r="N6" s="79" t="s">
        <v>203</v>
      </c>
    </row>
    <row r="7" spans="1:14" x14ac:dyDescent="0.2">
      <c r="A7" s="13" t="s">
        <v>204</v>
      </c>
      <c r="B7" s="10" t="s">
        <v>107</v>
      </c>
      <c r="C7" s="10">
        <v>13</v>
      </c>
      <c r="D7" s="10" t="s">
        <v>46</v>
      </c>
      <c r="E7" s="10" t="s">
        <v>44</v>
      </c>
      <c r="F7" t="s">
        <v>115</v>
      </c>
      <c r="G7" s="27" t="s">
        <v>177</v>
      </c>
      <c r="H7" s="27" t="s">
        <v>205</v>
      </c>
      <c r="I7" s="10" t="s">
        <v>84</v>
      </c>
    </row>
    <row r="8" spans="1:14" x14ac:dyDescent="0.2">
      <c r="A8" s="13" t="s">
        <v>206</v>
      </c>
      <c r="B8" s="10" t="s">
        <v>107</v>
      </c>
      <c r="C8" s="10">
        <v>3</v>
      </c>
      <c r="D8" s="10" t="s">
        <v>46</v>
      </c>
      <c r="E8" s="10" t="s">
        <v>44</v>
      </c>
      <c r="F8" t="s">
        <v>115</v>
      </c>
      <c r="G8" s="27" t="s">
        <v>177</v>
      </c>
      <c r="H8" s="27" t="s">
        <v>205</v>
      </c>
      <c r="I8" s="10" t="s">
        <v>84</v>
      </c>
    </row>
    <row r="9" spans="1:14" x14ac:dyDescent="0.2">
      <c r="A9" s="13" t="s">
        <v>207</v>
      </c>
      <c r="B9" s="10" t="s">
        <v>107</v>
      </c>
      <c r="C9" s="10">
        <v>11</v>
      </c>
      <c r="D9" s="10" t="s">
        <v>46</v>
      </c>
      <c r="E9" s="10" t="s">
        <v>44</v>
      </c>
      <c r="F9" t="s">
        <v>115</v>
      </c>
      <c r="G9" s="27" t="s">
        <v>177</v>
      </c>
      <c r="H9" s="27" t="s">
        <v>205</v>
      </c>
      <c r="I9" s="10" t="s">
        <v>208</v>
      </c>
    </row>
    <row r="10" spans="1:14" x14ac:dyDescent="0.2">
      <c r="A10" s="13" t="s">
        <v>209</v>
      </c>
      <c r="B10" s="10" t="s">
        <v>107</v>
      </c>
      <c r="C10" s="10">
        <v>4</v>
      </c>
      <c r="D10" s="10" t="s">
        <v>46</v>
      </c>
      <c r="E10" s="10" t="s">
        <v>44</v>
      </c>
      <c r="F10" t="s">
        <v>115</v>
      </c>
      <c r="G10" s="27" t="s">
        <v>177</v>
      </c>
      <c r="H10" s="27" t="s">
        <v>205</v>
      </c>
      <c r="I10" s="10" t="s">
        <v>84</v>
      </c>
    </row>
    <row r="11" spans="1:14" x14ac:dyDescent="0.2">
      <c r="A11" s="13" t="s">
        <v>210</v>
      </c>
      <c r="B11" s="10" t="s">
        <v>107</v>
      </c>
      <c r="C11" s="10">
        <v>3</v>
      </c>
      <c r="D11" s="10" t="s">
        <v>46</v>
      </c>
      <c r="E11" s="10" t="s">
        <v>44</v>
      </c>
      <c r="F11" t="s">
        <v>115</v>
      </c>
      <c r="G11" s="27" t="s">
        <v>177</v>
      </c>
      <c r="H11" s="27" t="s">
        <v>205</v>
      </c>
      <c r="I11" s="10" t="s">
        <v>84</v>
      </c>
    </row>
    <row r="12" spans="1:14" x14ac:dyDescent="0.2">
      <c r="A12" s="13" t="s">
        <v>211</v>
      </c>
      <c r="B12" s="10" t="s">
        <v>212</v>
      </c>
      <c r="C12" s="10">
        <v>4</v>
      </c>
      <c r="D12" s="10" t="s">
        <v>46</v>
      </c>
      <c r="E12" s="10" t="s">
        <v>44</v>
      </c>
      <c r="F12" t="s">
        <v>115</v>
      </c>
      <c r="G12" s="27" t="s">
        <v>177</v>
      </c>
      <c r="H12" s="27" t="s">
        <v>205</v>
      </c>
      <c r="I12" s="10" t="s">
        <v>84</v>
      </c>
    </row>
    <row r="13" spans="1:14" x14ac:dyDescent="0.2">
      <c r="A13" s="13" t="s">
        <v>213</v>
      </c>
      <c r="B13" s="10" t="s">
        <v>212</v>
      </c>
      <c r="C13" s="10">
        <v>3</v>
      </c>
      <c r="D13" s="10" t="s">
        <v>46</v>
      </c>
      <c r="E13" s="10" t="s">
        <v>44</v>
      </c>
      <c r="F13" t="s">
        <v>131</v>
      </c>
      <c r="G13" s="27" t="s">
        <v>178</v>
      </c>
      <c r="H13" s="27" t="s">
        <v>214</v>
      </c>
      <c r="I13" s="10" t="s">
        <v>84</v>
      </c>
    </row>
    <row r="14" spans="1:14" x14ac:dyDescent="0.2">
      <c r="A14" s="13" t="s">
        <v>215</v>
      </c>
      <c r="B14" s="10" t="s">
        <v>212</v>
      </c>
      <c r="C14" s="10">
        <v>3</v>
      </c>
      <c r="D14" s="10" t="s">
        <v>46</v>
      </c>
      <c r="E14" s="10" t="s">
        <v>44</v>
      </c>
      <c r="F14" t="s">
        <v>131</v>
      </c>
      <c r="G14" s="27" t="s">
        <v>178</v>
      </c>
      <c r="H14" s="27" t="s">
        <v>214</v>
      </c>
      <c r="I14" s="10" t="s">
        <v>84</v>
      </c>
    </row>
    <row r="15" spans="1:14" x14ac:dyDescent="0.2">
      <c r="A15" s="13" t="s">
        <v>216</v>
      </c>
      <c r="B15" s="10" t="s">
        <v>212</v>
      </c>
      <c r="C15" s="10">
        <v>3</v>
      </c>
      <c r="D15" s="10" t="s">
        <v>46</v>
      </c>
      <c r="E15" s="10" t="s">
        <v>44</v>
      </c>
      <c r="F15" t="s">
        <v>131</v>
      </c>
      <c r="G15" s="27" t="s">
        <v>178</v>
      </c>
      <c r="H15" s="27" t="s">
        <v>214</v>
      </c>
      <c r="I15" s="10" t="s">
        <v>84</v>
      </c>
    </row>
    <row r="16" spans="1:14" x14ac:dyDescent="0.2">
      <c r="A16" s="13" t="s">
        <v>217</v>
      </c>
      <c r="B16" s="10" t="s">
        <v>212</v>
      </c>
      <c r="C16" s="10">
        <v>3</v>
      </c>
      <c r="D16" s="10" t="s">
        <v>46</v>
      </c>
      <c r="E16" s="10" t="s">
        <v>44</v>
      </c>
      <c r="F16" t="s">
        <v>131</v>
      </c>
      <c r="G16" s="27" t="s">
        <v>178</v>
      </c>
      <c r="H16" s="27" t="s">
        <v>214</v>
      </c>
      <c r="I16" s="10" t="s">
        <v>84</v>
      </c>
    </row>
    <row r="17" spans="1:9" x14ac:dyDescent="0.2">
      <c r="A17" s="13" t="s">
        <v>218</v>
      </c>
      <c r="B17" s="10" t="s">
        <v>212</v>
      </c>
      <c r="C17" s="10">
        <v>2</v>
      </c>
      <c r="D17" s="10" t="s">
        <v>46</v>
      </c>
      <c r="E17" s="10" t="s">
        <v>44</v>
      </c>
      <c r="F17" t="s">
        <v>131</v>
      </c>
      <c r="G17" s="27" t="s">
        <v>178</v>
      </c>
      <c r="H17" s="27" t="s">
        <v>214</v>
      </c>
      <c r="I17" s="10" t="s">
        <v>84</v>
      </c>
    </row>
    <row r="18" spans="1:9" x14ac:dyDescent="0.2">
      <c r="A18" s="13" t="s">
        <v>219</v>
      </c>
      <c r="B18" s="10" t="s">
        <v>212</v>
      </c>
      <c r="C18" s="10">
        <v>2</v>
      </c>
      <c r="D18" s="10" t="s">
        <v>46</v>
      </c>
      <c r="E18" s="10" t="s">
        <v>44</v>
      </c>
      <c r="F18" t="s">
        <v>131</v>
      </c>
      <c r="G18" s="27" t="s">
        <v>178</v>
      </c>
      <c r="H18" s="27" t="s">
        <v>214</v>
      </c>
      <c r="I18" s="10" t="s">
        <v>84</v>
      </c>
    </row>
    <row r="19" spans="1:9" x14ac:dyDescent="0.2">
      <c r="A19" s="13" t="s">
        <v>220</v>
      </c>
      <c r="B19" s="10" t="s">
        <v>212</v>
      </c>
      <c r="C19" s="10">
        <v>2</v>
      </c>
      <c r="D19" s="10" t="s">
        <v>46</v>
      </c>
      <c r="E19" s="10" t="s">
        <v>44</v>
      </c>
      <c r="F19" t="s">
        <v>131</v>
      </c>
      <c r="G19" s="27" t="s">
        <v>178</v>
      </c>
      <c r="H19" s="27" t="s">
        <v>214</v>
      </c>
      <c r="I19" s="10" t="s">
        <v>84</v>
      </c>
    </row>
    <row r="20" spans="1:9" x14ac:dyDescent="0.2">
      <c r="A20" s="13" t="s">
        <v>221</v>
      </c>
      <c r="B20" s="10" t="s">
        <v>212</v>
      </c>
      <c r="C20" s="10">
        <v>1</v>
      </c>
      <c r="D20" s="10" t="s">
        <v>46</v>
      </c>
      <c r="E20" s="10" t="s">
        <v>44</v>
      </c>
      <c r="F20" t="s">
        <v>131</v>
      </c>
      <c r="G20" s="27" t="s">
        <v>178</v>
      </c>
      <c r="H20" s="27" t="s">
        <v>214</v>
      </c>
      <c r="I20" s="10" t="s">
        <v>84</v>
      </c>
    </row>
    <row r="21" spans="1:9" x14ac:dyDescent="0.2">
      <c r="A21" s="13" t="s">
        <v>222</v>
      </c>
      <c r="B21" s="10" t="s">
        <v>212</v>
      </c>
      <c r="C21" s="10">
        <v>1</v>
      </c>
      <c r="D21" s="10" t="s">
        <v>46</v>
      </c>
      <c r="E21" s="10" t="s">
        <v>44</v>
      </c>
      <c r="F21" t="s">
        <v>131</v>
      </c>
      <c r="G21" s="27" t="s">
        <v>178</v>
      </c>
      <c r="H21" s="27" t="s">
        <v>214</v>
      </c>
      <c r="I21" s="10" t="s">
        <v>84</v>
      </c>
    </row>
    <row r="22" spans="1:9" x14ac:dyDescent="0.2">
      <c r="A22" s="13" t="s">
        <v>223</v>
      </c>
      <c r="B22" s="10" t="s">
        <v>212</v>
      </c>
      <c r="C22" s="10">
        <v>0</v>
      </c>
      <c r="D22" s="10" t="s">
        <v>46</v>
      </c>
      <c r="E22" s="10" t="s">
        <v>44</v>
      </c>
      <c r="F22" t="s">
        <v>131</v>
      </c>
      <c r="G22" s="27" t="s">
        <v>178</v>
      </c>
      <c r="H22" s="27" t="s">
        <v>214</v>
      </c>
      <c r="I22" s="10" t="s">
        <v>84</v>
      </c>
    </row>
    <row r="23" spans="1:9" x14ac:dyDescent="0.2">
      <c r="A23" s="13" t="s">
        <v>224</v>
      </c>
      <c r="B23" s="10" t="s">
        <v>212</v>
      </c>
      <c r="C23" s="10">
        <v>0</v>
      </c>
      <c r="D23" s="10" t="s">
        <v>46</v>
      </c>
      <c r="E23" s="10" t="s">
        <v>44</v>
      </c>
      <c r="F23" t="s">
        <v>131</v>
      </c>
      <c r="G23" s="27" t="s">
        <v>178</v>
      </c>
      <c r="H23" s="27" t="s">
        <v>214</v>
      </c>
      <c r="I23" s="10" t="s">
        <v>84</v>
      </c>
    </row>
    <row r="24" spans="1:9" x14ac:dyDescent="0.2">
      <c r="A24" s="13" t="s">
        <v>225</v>
      </c>
      <c r="B24" s="10" t="s">
        <v>212</v>
      </c>
      <c r="C24" s="10">
        <v>0</v>
      </c>
      <c r="D24" s="10" t="s">
        <v>46</v>
      </c>
      <c r="E24" s="10" t="s">
        <v>44</v>
      </c>
      <c r="F24" t="s">
        <v>131</v>
      </c>
      <c r="G24" s="27" t="s">
        <v>178</v>
      </c>
      <c r="H24" s="27" t="s">
        <v>214</v>
      </c>
      <c r="I24" s="10" t="s">
        <v>84</v>
      </c>
    </row>
    <row r="25" spans="1:9" x14ac:dyDescent="0.2">
      <c r="A25" s="13" t="s">
        <v>226</v>
      </c>
      <c r="B25" s="10" t="s">
        <v>148</v>
      </c>
      <c r="C25" s="10">
        <v>7</v>
      </c>
      <c r="D25" s="10" t="s">
        <v>46</v>
      </c>
      <c r="E25" s="10" t="s">
        <v>44</v>
      </c>
      <c r="F25" t="s">
        <v>153</v>
      </c>
      <c r="G25" s="27" t="s">
        <v>227</v>
      </c>
      <c r="H25" s="27" t="s">
        <v>228</v>
      </c>
      <c r="I25" s="10" t="s">
        <v>84</v>
      </c>
    </row>
  </sheetData>
  <hyperlinks>
    <hyperlink ref="N2" r:id="rId1" xr:uid="{A8C8C51E-0CCA-41D0-B78E-9911BD232E53}"/>
    <hyperlink ref="N3" r:id="rId2" location="programs" xr:uid="{56608C34-4FD1-42B6-9A26-1CEB18C67281}"/>
    <hyperlink ref="N4" r:id="rId3" xr:uid="{F82E8320-9500-4A88-903B-172EA3761A9E}"/>
    <hyperlink ref="N5" r:id="rId4" xr:uid="{4F491AFF-5570-46CC-8604-6C88BA28BDAB}"/>
    <hyperlink ref="N6" r:id="rId5" xr:uid="{B404E9FE-8078-4376-8D84-20C3B043E7E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56D4-299D-410F-9184-0B20E95B3055}">
  <dimension ref="A1:E46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5.83203125" bestFit="1" customWidth="1"/>
    <col min="2" max="2" width="23.83203125" bestFit="1" customWidth="1"/>
    <col min="3" max="3" width="30.5" bestFit="1" customWidth="1"/>
    <col min="4" max="4" width="35" bestFit="1" customWidth="1"/>
    <col min="5" max="5" width="32.5" bestFit="1" customWidth="1"/>
  </cols>
  <sheetData>
    <row r="1" spans="1:5" s="10" customFormat="1" x14ac:dyDescent="0.2">
      <c r="A1" s="28" t="s">
        <v>229</v>
      </c>
    </row>
    <row r="2" spans="1:5" s="10" customFormat="1" x14ac:dyDescent="0.2">
      <c r="A2" s="29" t="s">
        <v>182</v>
      </c>
      <c r="B2" s="29" t="s">
        <v>230</v>
      </c>
      <c r="C2" s="29" t="s">
        <v>231</v>
      </c>
      <c r="D2" s="29" t="s">
        <v>232</v>
      </c>
      <c r="E2" s="30" t="s">
        <v>233</v>
      </c>
    </row>
    <row r="3" spans="1:5" s="10" customFormat="1" x14ac:dyDescent="0.2">
      <c r="A3" s="11" t="s">
        <v>179</v>
      </c>
      <c r="B3" s="11" t="s">
        <v>178</v>
      </c>
      <c r="C3" s="11" t="s">
        <v>234</v>
      </c>
      <c r="D3" s="11" t="s">
        <v>235</v>
      </c>
      <c r="E3" s="11" t="s">
        <v>132</v>
      </c>
    </row>
    <row r="4" spans="1:5" s="10" customFormat="1" x14ac:dyDescent="0.2">
      <c r="A4" s="11" t="s">
        <v>178</v>
      </c>
      <c r="B4" s="11" t="s">
        <v>177</v>
      </c>
      <c r="C4" s="11" t="s">
        <v>236</v>
      </c>
      <c r="D4" s="11" t="s">
        <v>138</v>
      </c>
      <c r="E4" s="11" t="s">
        <v>116</v>
      </c>
    </row>
    <row r="5" spans="1:5" s="10" customFormat="1" x14ac:dyDescent="0.2">
      <c r="A5" s="11" t="s">
        <v>177</v>
      </c>
      <c r="B5" s="11" t="s">
        <v>175</v>
      </c>
      <c r="C5" s="11" t="s">
        <v>237</v>
      </c>
      <c r="D5" s="11" t="s">
        <v>238</v>
      </c>
      <c r="E5" s="11" t="s">
        <v>96</v>
      </c>
    </row>
    <row r="6" spans="1:5" s="10" customFormat="1" x14ac:dyDescent="0.2">
      <c r="A6" s="11" t="s">
        <v>175</v>
      </c>
      <c r="B6" s="11" t="s">
        <v>174</v>
      </c>
      <c r="C6" s="11" t="s">
        <v>239</v>
      </c>
      <c r="D6" s="11" t="s">
        <v>240</v>
      </c>
      <c r="E6" s="11" t="s">
        <v>78</v>
      </c>
    </row>
    <row r="7" spans="1:5" s="10" customFormat="1" x14ac:dyDescent="0.2"/>
    <row r="8" spans="1:5" s="10" customFormat="1" ht="16" thickBot="1" x14ac:dyDescent="0.25"/>
    <row r="9" spans="1:5" s="10" customFormat="1" x14ac:dyDescent="0.2">
      <c r="A9" s="31" t="s">
        <v>241</v>
      </c>
    </row>
    <row r="10" spans="1:5" s="10" customFormat="1" x14ac:dyDescent="0.2">
      <c r="A10" s="29" t="s">
        <v>171</v>
      </c>
      <c r="B10" s="29" t="s">
        <v>36</v>
      </c>
      <c r="C10" s="29" t="s">
        <v>37</v>
      </c>
      <c r="D10" s="29" t="s">
        <v>242</v>
      </c>
      <c r="E10" s="30" t="s">
        <v>39</v>
      </c>
    </row>
    <row r="11" spans="1:5" s="10" customFormat="1" x14ac:dyDescent="0.2">
      <c r="A11" s="11" t="s">
        <v>178</v>
      </c>
      <c r="B11" s="11" t="s">
        <v>62</v>
      </c>
      <c r="C11" s="11" t="s">
        <v>62</v>
      </c>
      <c r="D11" s="11" t="s">
        <v>62</v>
      </c>
      <c r="E11" s="11" t="s">
        <v>117</v>
      </c>
    </row>
    <row r="12" spans="1:5" s="10" customFormat="1" x14ac:dyDescent="0.2">
      <c r="A12" s="11" t="s">
        <v>177</v>
      </c>
      <c r="B12" s="11" t="s">
        <v>62</v>
      </c>
      <c r="C12" s="11" t="s">
        <v>79</v>
      </c>
      <c r="D12" s="11" t="s">
        <v>62</v>
      </c>
      <c r="E12" s="11" t="s">
        <v>97</v>
      </c>
    </row>
    <row r="13" spans="1:5" s="10" customFormat="1" x14ac:dyDescent="0.2">
      <c r="A13" s="11" t="s">
        <v>175</v>
      </c>
      <c r="B13" s="11" t="s">
        <v>79</v>
      </c>
      <c r="C13" s="11" t="s">
        <v>79</v>
      </c>
      <c r="D13" s="11" t="s">
        <v>62</v>
      </c>
      <c r="E13" s="11" t="s">
        <v>80</v>
      </c>
    </row>
    <row r="14" spans="1:5" s="10" customFormat="1" x14ac:dyDescent="0.2"/>
    <row r="15" spans="1:5" s="10" customFormat="1" ht="16" thickBot="1" x14ac:dyDescent="0.25"/>
    <row r="16" spans="1:5" s="10" customFormat="1" x14ac:dyDescent="0.2">
      <c r="A16" s="37" t="s">
        <v>243</v>
      </c>
    </row>
    <row r="17" spans="1:4" s="10" customFormat="1" x14ac:dyDescent="0.2">
      <c r="A17" s="29" t="s">
        <v>171</v>
      </c>
      <c r="B17" s="32" t="s">
        <v>244</v>
      </c>
      <c r="C17" s="30" t="s">
        <v>245</v>
      </c>
      <c r="D17" s="30" t="s">
        <v>246</v>
      </c>
    </row>
    <row r="18" spans="1:4" s="10" customFormat="1" x14ac:dyDescent="0.2">
      <c r="A18" s="11" t="s">
        <v>178</v>
      </c>
      <c r="B18" s="11" t="s">
        <v>234</v>
      </c>
      <c r="C18" s="11" t="s">
        <v>235</v>
      </c>
      <c r="D18" s="11" t="s">
        <v>247</v>
      </c>
    </row>
    <row r="19" spans="1:4" s="10" customFormat="1" x14ac:dyDescent="0.2">
      <c r="A19" s="11" t="s">
        <v>177</v>
      </c>
      <c r="B19" s="11" t="s">
        <v>236</v>
      </c>
      <c r="C19" s="11" t="s">
        <v>138</v>
      </c>
      <c r="D19" s="11" t="s">
        <v>248</v>
      </c>
    </row>
    <row r="20" spans="1:4" s="10" customFormat="1" x14ac:dyDescent="0.2">
      <c r="A20" s="11" t="s">
        <v>175</v>
      </c>
      <c r="B20" s="11" t="s">
        <v>249</v>
      </c>
      <c r="C20" s="11" t="s">
        <v>250</v>
      </c>
      <c r="D20" s="11" t="s">
        <v>251</v>
      </c>
    </row>
    <row r="21" spans="1:4" s="10" customFormat="1" x14ac:dyDescent="0.2"/>
    <row r="22" spans="1:4" s="10" customFormat="1" ht="16" thickBot="1" x14ac:dyDescent="0.25"/>
    <row r="23" spans="1:4" s="10" customFormat="1" x14ac:dyDescent="0.2">
      <c r="A23" s="36" t="s">
        <v>252</v>
      </c>
    </row>
    <row r="24" spans="1:4" s="10" customFormat="1" x14ac:dyDescent="0.2">
      <c r="A24" s="29" t="s">
        <v>171</v>
      </c>
      <c r="B24" s="29" t="s">
        <v>40</v>
      </c>
      <c r="C24" s="30" t="s">
        <v>253</v>
      </c>
    </row>
    <row r="25" spans="1:4" s="10" customFormat="1" x14ac:dyDescent="0.2">
      <c r="A25" s="11" t="s">
        <v>178</v>
      </c>
      <c r="B25" s="11" t="s">
        <v>36</v>
      </c>
      <c r="C25" s="11" t="s">
        <v>254</v>
      </c>
    </row>
    <row r="26" spans="1:4" s="10" customFormat="1" x14ac:dyDescent="0.2">
      <c r="A26" s="11" t="s">
        <v>178</v>
      </c>
      <c r="B26" s="11" t="s">
        <v>37</v>
      </c>
      <c r="C26" s="11" t="s">
        <v>254</v>
      </c>
    </row>
    <row r="27" spans="1:4" s="10" customFormat="1" x14ac:dyDescent="0.2">
      <c r="A27" s="11" t="s">
        <v>178</v>
      </c>
      <c r="B27" s="11" t="s">
        <v>255</v>
      </c>
      <c r="C27" s="11" t="s">
        <v>254</v>
      </c>
    </row>
    <row r="28" spans="1:4" s="10" customFormat="1" x14ac:dyDescent="0.2">
      <c r="A28" s="11" t="s">
        <v>177</v>
      </c>
      <c r="B28" s="11" t="s">
        <v>36</v>
      </c>
      <c r="C28" s="11" t="s">
        <v>254</v>
      </c>
    </row>
    <row r="29" spans="1:4" s="10" customFormat="1" x14ac:dyDescent="0.2">
      <c r="A29" s="11" t="s">
        <v>177</v>
      </c>
      <c r="B29" s="11" t="s">
        <v>242</v>
      </c>
      <c r="C29" s="11" t="s">
        <v>254</v>
      </c>
    </row>
    <row r="30" spans="1:4" s="10" customFormat="1" x14ac:dyDescent="0.2">
      <c r="A30" s="11" t="s">
        <v>177</v>
      </c>
      <c r="B30" s="11" t="s">
        <v>256</v>
      </c>
      <c r="C30" s="11" t="s">
        <v>257</v>
      </c>
    </row>
    <row r="32" spans="1:4" ht="16" thickBot="1" x14ac:dyDescent="0.25"/>
    <row r="33" spans="1:4" x14ac:dyDescent="0.2">
      <c r="A33" s="33" t="s">
        <v>258</v>
      </c>
    </row>
    <row r="34" spans="1:4" x14ac:dyDescent="0.2">
      <c r="A34" s="29" t="s">
        <v>171</v>
      </c>
      <c r="B34" s="29" t="s">
        <v>259</v>
      </c>
      <c r="C34" s="30" t="s">
        <v>260</v>
      </c>
    </row>
    <row r="35" spans="1:4" x14ac:dyDescent="0.2">
      <c r="A35" s="11" t="s">
        <v>178</v>
      </c>
      <c r="B35" s="11" t="s">
        <v>261</v>
      </c>
      <c r="C35" s="11" t="s">
        <v>262</v>
      </c>
    </row>
    <row r="36" spans="1:4" x14ac:dyDescent="0.2">
      <c r="A36" s="11" t="s">
        <v>178</v>
      </c>
      <c r="B36" s="11" t="s">
        <v>261</v>
      </c>
      <c r="C36" s="11" t="s">
        <v>263</v>
      </c>
    </row>
    <row r="37" spans="1:4" x14ac:dyDescent="0.2">
      <c r="A37" s="11" t="s">
        <v>177</v>
      </c>
      <c r="B37" s="11" t="s">
        <v>116</v>
      </c>
      <c r="C37" s="11" t="s">
        <v>262</v>
      </c>
    </row>
    <row r="38" spans="1:4" x14ac:dyDescent="0.2">
      <c r="A38" s="11" t="s">
        <v>177</v>
      </c>
      <c r="B38" s="11" t="s">
        <v>116</v>
      </c>
      <c r="C38" s="11" t="s">
        <v>263</v>
      </c>
    </row>
    <row r="40" spans="1:4" ht="16" thickBot="1" x14ac:dyDescent="0.25"/>
    <row r="41" spans="1:4" x14ac:dyDescent="0.2">
      <c r="A41" s="34" t="s">
        <v>264</v>
      </c>
    </row>
    <row r="42" spans="1:4" x14ac:dyDescent="0.2">
      <c r="A42" s="29" t="s">
        <v>265</v>
      </c>
      <c r="B42" s="29" t="s">
        <v>266</v>
      </c>
      <c r="C42" s="29" t="s">
        <v>232</v>
      </c>
      <c r="D42" s="30" t="s">
        <v>267</v>
      </c>
    </row>
    <row r="43" spans="1:4" x14ac:dyDescent="0.2">
      <c r="A43" s="11" t="s">
        <v>179</v>
      </c>
      <c r="B43" s="11" t="s">
        <v>178</v>
      </c>
      <c r="C43" s="11" t="s">
        <v>235</v>
      </c>
      <c r="D43" s="11" t="s">
        <v>234</v>
      </c>
    </row>
    <row r="44" spans="1:4" x14ac:dyDescent="0.2">
      <c r="A44" s="11" t="s">
        <v>178</v>
      </c>
      <c r="B44" s="11" t="s">
        <v>177</v>
      </c>
      <c r="C44" s="11" t="s">
        <v>136</v>
      </c>
      <c r="D44" s="11" t="s">
        <v>268</v>
      </c>
    </row>
    <row r="45" spans="1:4" x14ac:dyDescent="0.2">
      <c r="A45" s="11" t="s">
        <v>177</v>
      </c>
      <c r="B45" s="11" t="s">
        <v>175</v>
      </c>
      <c r="C45" s="11" t="s">
        <v>238</v>
      </c>
      <c r="D45" s="11" t="s">
        <v>96</v>
      </c>
    </row>
    <row r="46" spans="1:4" x14ac:dyDescent="0.2">
      <c r="A46" s="11" t="s">
        <v>175</v>
      </c>
      <c r="B46" s="11" t="s">
        <v>174</v>
      </c>
      <c r="C46" s="11" t="s">
        <v>269</v>
      </c>
      <c r="D46" s="11" t="s">
        <v>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3271-BC70-454E-8C66-4E9239CF6C78}">
  <dimension ref="A1:E19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20.1640625" bestFit="1" customWidth="1"/>
    <col min="2" max="2" width="49.33203125" bestFit="1" customWidth="1"/>
    <col min="3" max="3" width="44.6640625" bestFit="1" customWidth="1"/>
    <col min="4" max="4" width="120.83203125" bestFit="1" customWidth="1"/>
    <col min="5" max="5" width="58.5" bestFit="1" customWidth="1"/>
  </cols>
  <sheetData>
    <row r="1" spans="1:5" x14ac:dyDescent="0.2">
      <c r="A1" s="22" t="s">
        <v>271</v>
      </c>
      <c r="B1" s="22" t="s">
        <v>272</v>
      </c>
      <c r="C1" s="22" t="s">
        <v>273</v>
      </c>
      <c r="D1" s="38" t="s">
        <v>274</v>
      </c>
      <c r="E1" s="22" t="s">
        <v>173</v>
      </c>
    </row>
    <row r="2" spans="1:5" x14ac:dyDescent="0.2">
      <c r="A2" s="13" t="s">
        <v>174</v>
      </c>
      <c r="B2" s="10" t="s">
        <v>189</v>
      </c>
      <c r="C2" s="10" t="s">
        <v>275</v>
      </c>
      <c r="D2" s="39" t="s">
        <v>276</v>
      </c>
      <c r="E2" s="10" t="s">
        <v>277</v>
      </c>
    </row>
    <row r="3" spans="1:5" x14ac:dyDescent="0.2">
      <c r="A3" s="13" t="s">
        <v>175</v>
      </c>
      <c r="B3" s="10" t="s">
        <v>192</v>
      </c>
      <c r="C3" s="10" t="s">
        <v>278</v>
      </c>
      <c r="D3" s="39" t="s">
        <v>279</v>
      </c>
      <c r="E3" s="10" t="s">
        <v>280</v>
      </c>
    </row>
    <row r="4" spans="1:5" x14ac:dyDescent="0.2">
      <c r="A4" s="13" t="s">
        <v>177</v>
      </c>
      <c r="B4" s="10" t="s">
        <v>278</v>
      </c>
      <c r="C4" s="10" t="s">
        <v>281</v>
      </c>
      <c r="D4" s="39" t="s">
        <v>282</v>
      </c>
      <c r="E4" s="10" t="s">
        <v>283</v>
      </c>
    </row>
    <row r="5" spans="1:5" x14ac:dyDescent="0.2">
      <c r="A5" s="13" t="s">
        <v>178</v>
      </c>
      <c r="B5" s="10" t="s">
        <v>281</v>
      </c>
      <c r="C5" s="10" t="s">
        <v>284</v>
      </c>
      <c r="D5" s="39" t="s">
        <v>285</v>
      </c>
      <c r="E5" s="10" t="s">
        <v>286</v>
      </c>
    </row>
    <row r="6" spans="1:5" x14ac:dyDescent="0.2">
      <c r="A6" s="13" t="s">
        <v>179</v>
      </c>
      <c r="B6" s="10" t="s">
        <v>287</v>
      </c>
      <c r="C6" s="10" t="s">
        <v>288</v>
      </c>
      <c r="D6" s="39" t="s">
        <v>289</v>
      </c>
      <c r="E6" s="10" t="s">
        <v>290</v>
      </c>
    </row>
    <row r="7" spans="1:5" x14ac:dyDescent="0.2">
      <c r="A7" s="13" t="s">
        <v>291</v>
      </c>
      <c r="B7" s="10" t="s">
        <v>226</v>
      </c>
      <c r="C7" s="10" t="s">
        <v>292</v>
      </c>
      <c r="D7" s="39" t="s">
        <v>293</v>
      </c>
      <c r="E7" s="10" t="s">
        <v>294</v>
      </c>
    </row>
    <row r="11" spans="1:5" x14ac:dyDescent="0.2">
      <c r="D11" t="s">
        <v>295</v>
      </c>
    </row>
    <row r="13" spans="1:5" x14ac:dyDescent="0.2">
      <c r="A13" s="22" t="s">
        <v>271</v>
      </c>
      <c r="B13" s="22" t="s">
        <v>273</v>
      </c>
      <c r="C13" s="22"/>
    </row>
    <row r="14" spans="1:5" x14ac:dyDescent="0.2">
      <c r="A14" s="13" t="s">
        <v>174</v>
      </c>
      <c r="B14" t="s">
        <v>296</v>
      </c>
      <c r="C14" s="78" t="s">
        <v>297</v>
      </c>
    </row>
    <row r="15" spans="1:5" x14ac:dyDescent="0.2">
      <c r="A15" s="13" t="s">
        <v>175</v>
      </c>
      <c r="B15" t="s">
        <v>296</v>
      </c>
      <c r="C15" s="78" t="s">
        <v>297</v>
      </c>
    </row>
    <row r="16" spans="1:5" x14ac:dyDescent="0.2">
      <c r="A16" s="13" t="s">
        <v>177</v>
      </c>
      <c r="B16" t="s">
        <v>298</v>
      </c>
    </row>
    <row r="17" spans="1:3" x14ac:dyDescent="0.2">
      <c r="A17" s="13" t="s">
        <v>178</v>
      </c>
      <c r="B17" t="s">
        <v>127</v>
      </c>
      <c r="C17" t="s">
        <v>299</v>
      </c>
    </row>
    <row r="18" spans="1:3" x14ac:dyDescent="0.2">
      <c r="A18" s="13" t="s">
        <v>179</v>
      </c>
      <c r="B18" s="10" t="s">
        <v>288</v>
      </c>
      <c r="C18" s="10"/>
    </row>
    <row r="19" spans="1:3" x14ac:dyDescent="0.2">
      <c r="A19" s="13" t="s">
        <v>291</v>
      </c>
      <c r="B19" s="10" t="s">
        <v>292</v>
      </c>
      <c r="C19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119AB4A9226441829118A822FD8C7A" ma:contentTypeVersion="13" ma:contentTypeDescription="Create a new document." ma:contentTypeScope="" ma:versionID="9f5eb21422d572ae0a6f2af08441fee2">
  <xsd:schema xmlns:xsd="http://www.w3.org/2001/XMLSchema" xmlns:xs="http://www.w3.org/2001/XMLSchema" xmlns:p="http://schemas.microsoft.com/office/2006/metadata/properties" xmlns:ns3="ab9603ab-d341-4dad-85d9-aefd3232a86d" xmlns:ns4="51e0186f-c11b-483f-aa79-6635cbfa2378" targetNamespace="http://schemas.microsoft.com/office/2006/metadata/properties" ma:root="true" ma:fieldsID="1b13fdba0f5cf7ea75fd2efb1a67aff4" ns3:_="" ns4:_="">
    <xsd:import namespace="ab9603ab-d341-4dad-85d9-aefd3232a86d"/>
    <xsd:import namespace="51e0186f-c11b-483f-aa79-6635cbfa237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03ab-d341-4dad-85d9-aefd3232a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0186f-c11b-483f-aa79-6635cbfa23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9603ab-d341-4dad-85d9-aefd3232a86d" xsi:nil="true"/>
  </documentManagement>
</p:properties>
</file>

<file path=customXml/itemProps1.xml><?xml version="1.0" encoding="utf-8"?>
<ds:datastoreItem xmlns:ds="http://schemas.openxmlformats.org/officeDocument/2006/customXml" ds:itemID="{01C596A0-291D-4F5B-B21A-9C82E85447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03ab-d341-4dad-85d9-aefd3232a86d"/>
    <ds:schemaRef ds:uri="51e0186f-c11b-483f-aa79-6635cbfa23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4C6188-5221-48A0-8714-13B6E34AFE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CC4695-52F6-4F5D-A132-3CAAA700BC7E}">
  <ds:schemaRefs>
    <ds:schemaRef ds:uri="http://schemas.microsoft.com/office/2006/metadata/properties"/>
    <ds:schemaRef ds:uri="http://schemas.microsoft.com/office/infopath/2007/PartnerControls"/>
    <ds:schemaRef ds:uri="ab9603ab-d341-4dad-85d9-aefd3232a8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Current Workforce </vt:lpstr>
      <vt:lpstr>PIVOTS</vt:lpstr>
      <vt:lpstr>Position Requirements</vt:lpstr>
      <vt:lpstr>Leadership Readiness</vt:lpstr>
      <vt:lpstr>Promotional Structure</vt:lpstr>
      <vt:lpstr>Potential Successors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 Lopez</dc:creator>
  <cp:keywords/>
  <dc:description/>
  <cp:lastModifiedBy>Balekkal, Kishan Sanjay Kumar</cp:lastModifiedBy>
  <cp:revision/>
  <dcterms:created xsi:type="dcterms:W3CDTF">2025-11-20T17:34:45Z</dcterms:created>
  <dcterms:modified xsi:type="dcterms:W3CDTF">2026-04-30T21:51:20Z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0x010100A6119AB4A9226441829118A822FD8C7A</vt:lpwstr>
  </property>
</Properties>
</file>